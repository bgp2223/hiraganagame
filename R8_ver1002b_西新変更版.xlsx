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19" firstSheet="0" activeTab="0" autoFilterDateGrouping="1"/>
  </bookViews>
  <sheets>
    <sheet name="R8表紙" sheetId="1" state="visible" r:id="rId1"/>
    <sheet name="4番内訳" sheetId="2" state="visible" r:id="rId2"/>
    <sheet name="R7表紙" sheetId="3" state="visible" r:id="rId3"/>
    <sheet name="各教科担当計算用" sheetId="4" state="visible" r:id="rId4"/>
    <sheet name="R6表紙" sheetId="5" state="visible" r:id="rId5"/>
    <sheet name="R5表紙" sheetId="6" state="visible" r:id="rId6"/>
    <sheet name="計算用" sheetId="7" state="visible" r:id="rId7"/>
    <sheet name="計算用2" sheetId="8" state="visible" r:id="rId8"/>
    <sheet name="計算用3" sheetId="9" state="visible" r:id="rId9"/>
  </sheets>
  <definedNames>
    <definedName name="_xlnm.Print_Area" localSheetId="0">'R8表紙'!$A$1:$R$117</definedName>
    <definedName name="_xlnm.Print_Area" localSheetId="2">'R7表紙'!$A$1:$R$115</definedName>
    <definedName name="_xlnm.Print_Area" localSheetId="3">'各教科担当計算用'!$A$1:$AB$121</definedName>
    <definedName name="_xlnm.Print_Area" localSheetId="4">'R6表紙'!$A$1:$R$121</definedName>
    <definedName name="_xlnm.Print_Area" localSheetId="5">'R5表紙'!$A$1:$R$125</definedName>
    <definedName name="_xlnm.Print_Area" localSheetId="6">'計算用'!$A$1:$L$49</definedName>
    <definedName name="_xlnm.Print_Area" localSheetId="7">'計算用2'!$A$1:$E$40</definedName>
    <definedName name="_xlnm.Print_Area" localSheetId="8">'計算用3'!$A$1:$R$40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.0_ "/>
    <numFmt numFmtId="166" formatCode="aaa"/>
  </numFmts>
  <fonts count="89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HGP教科書体"/>
      <charset val="128"/>
      <family val="1"/>
      <sz val="11"/>
    </font>
    <font>
      <name val="HGP教科書体"/>
      <charset val="128"/>
      <family val="1"/>
      <color rgb="FFFF0000"/>
      <sz val="11"/>
    </font>
    <font>
      <name val="ＭＳ Ｐゴシック"/>
      <charset val="128"/>
      <family val="3"/>
      <sz val="6"/>
      <scheme val="minor"/>
    </font>
    <font>
      <name val="HGP教科書体"/>
      <charset val="128"/>
      <family val="1"/>
      <color theme="1"/>
      <sz val="11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HGP教科書体"/>
      <charset val="128"/>
      <family val="1"/>
      <b val="1"/>
      <color rgb="FFFF0000"/>
      <sz val="11"/>
    </font>
    <font>
      <name val="ＭＳ Ｐゴシック"/>
      <charset val="128"/>
      <family val="3"/>
      <b val="1"/>
      <color rgb="FFFF0000"/>
      <sz val="11"/>
      <scheme val="minor"/>
    </font>
    <font>
      <name val="HGP教科書体"/>
      <charset val="128"/>
      <family val="1"/>
      <color theme="1"/>
      <sz val="10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b val="1"/>
      <sz val="10"/>
      <scheme val="major"/>
    </font>
    <font>
      <name val="ＭＳ Ｐゴシック"/>
      <charset val="128"/>
      <family val="3"/>
      <b val="1"/>
      <color theme="1"/>
      <sz val="10"/>
      <scheme val="maj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theme="1"/>
      <sz val="11"/>
      <scheme val="major"/>
    </font>
    <font>
      <name val="ＭＳ Ｐゴシック"/>
      <charset val="128"/>
      <family val="3"/>
      <sz val="12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游明朝"/>
      <charset val="128"/>
      <family val="1"/>
      <color theme="1"/>
      <sz val="10"/>
    </font>
    <font>
      <name val="游明朝"/>
      <charset val="128"/>
      <family val="1"/>
      <b val="1"/>
      <color rgb="FFFF0000"/>
      <sz val="10"/>
    </font>
    <font>
      <name val="BIZ UDゴシック"/>
      <charset val="128"/>
      <family val="3"/>
      <color theme="1"/>
      <sz val="9"/>
    </font>
    <font>
      <name val="HGP教科書体"/>
      <charset val="128"/>
      <family val="1"/>
      <b val="1"/>
      <sz val="11"/>
    </font>
    <font>
      <name val="HGP教科書体"/>
      <charset val="128"/>
      <family val="1"/>
      <color theme="1"/>
      <sz val="9"/>
    </font>
    <font>
      <name val="HGP教科書体"/>
      <charset val="1"/>
      <family val="1"/>
      <color theme="1"/>
      <sz val="11"/>
    </font>
    <font>
      <name val="HGP教科書体"/>
      <charset val="128"/>
      <family val="1"/>
      <color theme="0" tint="-0.1499984740745262"/>
      <sz val="11"/>
    </font>
    <font>
      <name val="ＭＳ Ｐゴシック"/>
      <charset val="128"/>
      <family val="2"/>
      <color theme="0" tint="-0.499984740745262"/>
      <sz val="11"/>
      <scheme val="minor"/>
    </font>
    <font>
      <name val="HGP教科書体"/>
      <charset val="128"/>
      <family val="1"/>
      <color theme="0" tint="-0.499984740745262"/>
      <sz val="11"/>
    </font>
    <font>
      <name val="Segoe UI Symbol"/>
      <charset val="1"/>
      <family val="1"/>
      <color theme="1"/>
      <sz val="11"/>
    </font>
    <font>
      <name val="ＭＳ Ｐ明朝"/>
      <charset val="128"/>
      <family val="1"/>
      <color theme="1"/>
      <sz val="11"/>
    </font>
    <font>
      <name val="BIZ UDゴシック"/>
      <charset val="128"/>
      <family val="3"/>
      <color rgb="FFFF0000"/>
      <sz val="9"/>
    </font>
    <font>
      <name val="ＭＳ Ｐゴシック"/>
      <charset val="128"/>
      <family val="3"/>
      <color rgb="FFFF0000"/>
      <sz val="10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FF0000"/>
      <sz val="8"/>
    </font>
    <font>
      <name val="Segoe UI Symbol"/>
      <family val="1"/>
      <sz val="11"/>
    </font>
    <font>
      <name val="HGP教科書体"/>
      <charset val="128"/>
      <family val="1"/>
      <b val="1"/>
      <color rgb="FF0000FF"/>
      <sz val="11"/>
    </font>
    <font>
      <name val="HGP教科書体"/>
      <charset val="1"/>
      <family val="1"/>
      <b val="1"/>
      <color rgb="FF0000FF"/>
      <sz val="11"/>
    </font>
    <font>
      <name val="Segoe UI Symbol"/>
      <charset val="1"/>
      <family val="1"/>
      <b val="1"/>
      <color rgb="FF0000FF"/>
      <sz val="11"/>
    </font>
    <font>
      <name val="ＭＳ Ｐ明朝"/>
      <charset val="128"/>
      <family val="1"/>
      <b val="1"/>
      <color rgb="FF0000FF"/>
      <sz val="11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0"/>
      <sz val="11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2"/>
      <color theme="1"/>
      <sz val="6"/>
      <scheme val="minor"/>
    </font>
    <font>
      <name val="HGP教科書体"/>
      <charset val="1"/>
      <family val="1"/>
      <b val="1"/>
      <color rgb="FFFF0000"/>
      <sz val="11"/>
    </font>
    <font>
      <name val="Segoe UI Symbol"/>
      <charset val="1"/>
      <family val="1"/>
      <b val="1"/>
      <color rgb="FFFF0000"/>
      <sz val="11"/>
    </font>
    <font>
      <name val="ＭＳ Ｐ明朝"/>
      <charset val="128"/>
      <family val="1"/>
      <b val="1"/>
      <color rgb="FFFF0000"/>
      <sz val="11"/>
    </font>
    <font>
      <name val="游明朝"/>
      <charset val="128"/>
      <family val="1"/>
      <color rgb="FFFF0000"/>
      <sz val="10"/>
    </font>
    <font>
      <name val="游明朝"/>
      <charset val="128"/>
      <family val="1"/>
      <sz val="10"/>
    </font>
    <font>
      <name val="HGP教科書体"/>
      <charset val="128"/>
      <family val="1"/>
      <b val="1"/>
      <color rgb="FFFF0000"/>
      <sz val="18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2"/>
      <sz val="8"/>
      <scheme val="minor"/>
    </font>
    <font>
      <name val="HGP教科書体"/>
      <charset val="1"/>
      <family val="1"/>
      <sz val="11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b val="1"/>
      <color theme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rgb="FF0000FF"/>
      <sz val="10"/>
      <scheme val="major"/>
    </font>
    <font>
      <name val="HGP教科書体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  <scheme val="major"/>
    </font>
    <font>
      <name val="HGP教科書体"/>
      <charset val="128"/>
      <family val="1"/>
      <b val="1"/>
      <color theme="1"/>
      <sz val="9"/>
    </font>
    <font>
      <name val="HGP教科書体"/>
      <charset val="128"/>
      <family val="1"/>
      <b val="1"/>
      <color theme="1"/>
      <sz val="11"/>
    </font>
    <font>
      <name val="HGP教科書体"/>
      <charset val="128"/>
      <family val="1"/>
      <b val="1"/>
      <color theme="1"/>
      <sz val="8"/>
    </font>
    <font>
      <name val="ＭＳ Ｐゴシック"/>
      <charset val="128"/>
      <family val="3"/>
      <color theme="0" tint="-0.499984740745262"/>
      <sz val="11"/>
      <scheme val="major"/>
    </font>
    <font>
      <name val="HGP教科書体"/>
      <charset val="128"/>
      <family val="1"/>
      <b val="1"/>
      <color theme="1"/>
      <sz val="11"/>
      <u val="single"/>
    </font>
    <font>
      <name val="HGP教科書体"/>
      <charset val="128"/>
      <family val="1"/>
      <color theme="1"/>
      <sz val="8"/>
    </font>
    <font>
      <name val="ＭＳ Ｐゴシック"/>
      <charset val="128"/>
      <family val="3"/>
      <b val="1"/>
      <color theme="1"/>
      <sz val="8"/>
      <scheme val="major"/>
    </font>
    <font>
      <name val="ＭＳ Ｐゴシック"/>
      <charset val="128"/>
      <family val="3"/>
      <b val="1"/>
      <sz val="11"/>
      <scheme val="minor"/>
    </font>
    <font>
      <name val="ＭＳ Ｐゴシック"/>
      <charset val="128"/>
      <family val="3"/>
      <b val="1"/>
      <color rgb="FFFF0000"/>
      <sz val="12"/>
      <scheme val="minor"/>
    </font>
    <font>
      <name val="HGP教科書体"/>
      <sz val="11"/>
    </font>
    <font>
      <name val="HGP教科書体"/>
      <b val="1"/>
      <sz val="1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B9FCB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1543"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3">
      <alignment vertical="center"/>
    </xf>
    <xf numFmtId="0" fontId="21" fillId="0" borderId="12" applyAlignment="1" pivotButton="0" quotePrefix="0" xfId="3">
      <alignment vertical="center"/>
    </xf>
    <xf numFmtId="0" fontId="9" fillId="0" borderId="12" applyAlignment="1" pivotButton="0" quotePrefix="0" xfId="3">
      <alignment vertical="center"/>
    </xf>
    <xf numFmtId="0" fontId="9" fillId="0" borderId="0" applyAlignment="1" pivotButton="0" quotePrefix="0" xfId="3">
      <alignment vertical="center"/>
    </xf>
    <xf numFmtId="0" fontId="15" fillId="5" borderId="6" applyAlignment="1" pivotButton="0" quotePrefix="0" xfId="3">
      <alignment horizontal="center" vertical="center" shrinkToFit="1"/>
    </xf>
    <xf numFmtId="0" fontId="12" fillId="5" borderId="6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vertical="center" shrinkToFit="1"/>
    </xf>
    <xf numFmtId="0" fontId="15" fillId="0" borderId="6" applyAlignment="1" pivotButton="0" quotePrefix="0" xfId="3">
      <alignment horizontal="center" vertical="center" shrinkToFit="1"/>
    </xf>
    <xf numFmtId="56" fontId="9" fillId="0" borderId="0" applyAlignment="1" pivotButton="0" quotePrefix="0" xfId="3">
      <alignment vertical="center" shrinkToFit="1"/>
    </xf>
    <xf numFmtId="0" fontId="15" fillId="0" borderId="0" applyAlignment="1" pivotButton="0" quotePrefix="0" xfId="3">
      <alignment horizontal="center" vertical="center" shrinkToFit="1"/>
    </xf>
    <xf numFmtId="0" fontId="15" fillId="2" borderId="6" applyAlignment="1" pivotButton="0" quotePrefix="0" xfId="3">
      <alignment horizontal="center" vertical="center" shrinkToFit="1"/>
    </xf>
    <xf numFmtId="0" fontId="15" fillId="9" borderId="6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vertical="center"/>
    </xf>
    <xf numFmtId="0" fontId="15" fillId="5" borderId="9" applyAlignment="1" pivotButton="0" quotePrefix="0" xfId="3">
      <alignment horizontal="center" vertical="center" shrinkToFit="1"/>
    </xf>
    <xf numFmtId="0" fontId="15" fillId="5" borderId="8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vertical="center" shrinkToFit="1"/>
    </xf>
    <xf numFmtId="0" fontId="15" fillId="5" borderId="19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shrinkToFit="1"/>
    </xf>
    <xf numFmtId="0" fontId="12" fillId="0" borderId="20" applyAlignment="1" pivotButton="0" quotePrefix="0" xfId="3">
      <alignment horizontal="center" vertical="center" shrinkToFit="1"/>
    </xf>
    <xf numFmtId="0" fontId="15" fillId="0" borderId="23" applyAlignment="1" pivotButton="0" quotePrefix="0" xfId="3">
      <alignment horizontal="center" vertical="center" shrinkToFit="1"/>
    </xf>
    <xf numFmtId="0" fontId="15" fillId="0" borderId="26" applyAlignment="1" pivotButton="0" quotePrefix="0" xfId="3">
      <alignment horizontal="center" vertical="center" shrinkToFit="1"/>
    </xf>
    <xf numFmtId="0" fontId="12" fillId="0" borderId="26" applyAlignment="1" pivotButton="0" quotePrefix="0" xfId="3">
      <alignment horizontal="center" vertical="center" shrinkToFit="1"/>
    </xf>
    <xf numFmtId="0" fontId="12" fillId="0" borderId="109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5" fillId="9" borderId="41" applyAlignment="1" pivotButton="0" quotePrefix="0" xfId="3">
      <alignment vertical="center" shrinkToFit="1"/>
    </xf>
    <xf numFmtId="0" fontId="15" fillId="9" borderId="1" applyAlignment="1" pivotButton="0" quotePrefix="0" xfId="3">
      <alignment vertical="center" shrinkToFit="1"/>
    </xf>
    <xf numFmtId="0" fontId="24" fillId="0" borderId="0" applyAlignment="1" pivotButton="0" quotePrefix="0" xfId="3">
      <alignment vertical="center" wrapText="1" shrinkToFit="1"/>
    </xf>
    <xf numFmtId="0" fontId="15" fillId="0" borderId="12" applyAlignment="1" pivotButton="0" quotePrefix="0" xfId="3">
      <alignment vertical="center" shrinkToFit="1"/>
    </xf>
    <xf numFmtId="0" fontId="9" fillId="0" borderId="15" applyAlignment="1" pivotButton="0" quotePrefix="0" xfId="3">
      <alignment vertical="center"/>
    </xf>
    <xf numFmtId="0" fontId="25" fillId="0" borderId="8" applyAlignment="1" pivotButton="0" quotePrefix="0" xfId="3">
      <alignment vertical="center"/>
    </xf>
    <xf numFmtId="0" fontId="25" fillId="0" borderId="0" applyAlignment="1" pivotButton="0" quotePrefix="0" xfId="3">
      <alignment vertical="center"/>
    </xf>
    <xf numFmtId="0" fontId="25" fillId="0" borderId="14" applyAlignment="1" pivotButton="0" quotePrefix="0" xfId="3">
      <alignment vertical="center"/>
    </xf>
    <xf numFmtId="0" fontId="33" fillId="0" borderId="10" applyAlignment="1" pivotButton="0" quotePrefix="0" xfId="3">
      <alignment vertical="center"/>
    </xf>
    <xf numFmtId="0" fontId="33" fillId="0" borderId="10" applyAlignment="1" pivotButton="0" quotePrefix="0" xfId="3">
      <alignment horizontal="left" vertical="center"/>
    </xf>
    <xf numFmtId="0" fontId="33" fillId="0" borderId="0" applyAlignment="1" pivotButton="0" quotePrefix="0" xfId="3">
      <alignment horizontal="center" vertical="center"/>
    </xf>
    <xf numFmtId="0" fontId="33" fillId="0" borderId="0" applyAlignment="1" pivotButton="0" quotePrefix="0" xfId="3">
      <alignment vertical="center"/>
    </xf>
    <xf numFmtId="0" fontId="33" fillId="0" borderId="39" applyAlignment="1" pivotButton="0" quotePrefix="0" xfId="3">
      <alignment vertical="center"/>
    </xf>
    <xf numFmtId="0" fontId="33" fillId="0" borderId="11" applyAlignment="1" pivotButton="0" quotePrefix="0" xfId="3">
      <alignment horizontal="left" vertical="center"/>
    </xf>
    <xf numFmtId="0" fontId="33" fillId="0" borderId="12" applyAlignment="1" pivotButton="0" quotePrefix="0" xfId="3">
      <alignment horizontal="center" vertical="center"/>
    </xf>
    <xf numFmtId="0" fontId="33" fillId="0" borderId="12" applyAlignment="1" pivotButton="0" quotePrefix="0" xfId="3">
      <alignment vertical="center"/>
    </xf>
    <xf numFmtId="0" fontId="25" fillId="0" borderId="13" applyAlignment="1" pivotButton="0" quotePrefix="0" xfId="3">
      <alignment vertical="center"/>
    </xf>
    <xf numFmtId="0" fontId="12" fillId="0" borderId="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vertical="center" shrinkToFit="1"/>
    </xf>
    <xf numFmtId="0" fontId="15" fillId="0" borderId="6" applyAlignment="1" pivotButton="0" quotePrefix="0" xfId="3">
      <alignment vertical="center" shrinkToFit="1"/>
    </xf>
    <xf numFmtId="0" fontId="12" fillId="0" borderId="31" applyAlignment="1" pivotButton="0" quotePrefix="0" xfId="3">
      <alignment vertical="center" shrinkToFit="1"/>
    </xf>
    <xf numFmtId="0" fontId="12" fillId="0" borderId="31" applyAlignment="1" pivotButton="0" quotePrefix="0" xfId="3">
      <alignment horizontal="center" vertical="center" shrinkToFit="1"/>
    </xf>
    <xf numFmtId="0" fontId="13" fillId="3" borderId="6" applyAlignment="1" pivotButton="0" quotePrefix="0" xfId="3">
      <alignment horizontal="center" vertical="center" shrinkToFit="1"/>
    </xf>
    <xf numFmtId="0" fontId="15" fillId="3" borderId="6" applyAlignment="1" pivotButton="0" quotePrefix="0" xfId="3">
      <alignment vertical="center" shrinkToFit="1"/>
    </xf>
    <xf numFmtId="0" fontId="26" fillId="0" borderId="6" applyAlignment="1" pivotButton="0" quotePrefix="0" xfId="3">
      <alignment vertical="center" shrinkToFit="1"/>
    </xf>
    <xf numFmtId="0" fontId="27" fillId="0" borderId="6" applyAlignment="1" pivotButton="0" quotePrefix="0" xfId="3">
      <alignment vertical="center" shrinkToFit="1"/>
    </xf>
    <xf numFmtId="0" fontId="27" fillId="0" borderId="0" applyAlignment="1" pivotButton="0" quotePrefix="0" xfId="3">
      <alignment vertical="center" shrinkToFit="1"/>
    </xf>
    <xf numFmtId="0" fontId="27" fillId="0" borderId="0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/>
    </xf>
    <xf numFmtId="0" fontId="29" fillId="0" borderId="0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/>
    </xf>
    <xf numFmtId="0" fontId="28" fillId="0" borderId="12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 shrinkToFit="1"/>
    </xf>
    <xf numFmtId="0" fontId="28" fillId="0" borderId="6" applyAlignment="1" pivotButton="0" quotePrefix="0" xfId="3">
      <alignment horizontal="center" vertical="center" shrinkToFit="1"/>
    </xf>
    <xf numFmtId="0" fontId="30" fillId="0" borderId="0" applyAlignment="1" pivotButton="0" quotePrefix="0" xfId="3">
      <alignment vertical="center" shrinkToFit="1"/>
    </xf>
    <xf numFmtId="0" fontId="30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 shrinkToFit="1"/>
    </xf>
    <xf numFmtId="0" fontId="20" fillId="0" borderId="0" applyAlignment="1" pivotButton="0" quotePrefix="0" xfId="3">
      <alignment vertical="center"/>
    </xf>
    <xf numFmtId="0" fontId="15" fillId="8" borderId="101" applyAlignment="1" pivotButton="0" quotePrefix="0" xfId="3">
      <alignment horizontal="center" vertical="center" shrinkToFit="1"/>
    </xf>
    <xf numFmtId="0" fontId="15" fillId="8" borderId="87" applyAlignment="1" pivotButton="0" quotePrefix="0" xfId="3">
      <alignment horizontal="center" vertical="center" shrinkToFit="1"/>
    </xf>
    <xf numFmtId="0" fontId="15" fillId="8" borderId="88" applyAlignment="1" pivotButton="0" quotePrefix="0" xfId="3">
      <alignment horizontal="center" vertical="center" shrinkToFit="1"/>
    </xf>
    <xf numFmtId="0" fontId="15" fillId="8" borderId="89" applyAlignment="1" pivotButton="0" quotePrefix="0" xfId="3">
      <alignment horizontal="center" vertical="center" shrinkToFit="1"/>
    </xf>
    <xf numFmtId="0" fontId="15" fillId="8" borderId="102" applyAlignment="1" pivotButton="0" quotePrefix="0" xfId="3">
      <alignment horizontal="center" vertical="center" shrinkToFit="1"/>
    </xf>
    <xf numFmtId="0" fontId="12" fillId="0" borderId="59" applyAlignment="1" pivotButton="0" quotePrefix="0" xfId="3">
      <alignment horizontal="center" vertical="center" shrinkToFit="1"/>
    </xf>
    <xf numFmtId="0" fontId="15" fillId="0" borderId="76" applyAlignment="1" pivotButton="0" quotePrefix="0" xfId="3">
      <alignment horizontal="center" vertical="center" shrinkToFit="1"/>
    </xf>
    <xf numFmtId="0" fontId="12" fillId="0" borderId="40" applyAlignment="1" pivotButton="0" quotePrefix="0" xfId="3">
      <alignment horizontal="center" vertical="center" shrinkToFit="1"/>
    </xf>
    <xf numFmtId="0" fontId="15" fillId="0" borderId="48" applyAlignment="1" pivotButton="0" quotePrefix="0" xfId="3">
      <alignment horizontal="center" vertical="center" shrinkToFit="1"/>
    </xf>
    <xf numFmtId="0" fontId="15" fillId="0" borderId="40" applyAlignment="1" pivotButton="0" quotePrefix="0" xfId="3">
      <alignment horizontal="center" vertical="center" shrinkToFit="1"/>
    </xf>
    <xf numFmtId="0" fontId="12" fillId="0" borderId="76" applyAlignment="1" pivotButton="0" quotePrefix="0" xfId="3">
      <alignment horizontal="center" vertical="center" shrinkToFit="1"/>
    </xf>
    <xf numFmtId="0" fontId="15" fillId="0" borderId="77" applyAlignment="1" pivotButton="0" quotePrefix="0" xfId="3">
      <alignment horizontal="center" vertical="center" shrinkToFit="1"/>
    </xf>
    <xf numFmtId="0" fontId="15" fillId="0" borderId="90" applyAlignment="1" pivotButton="0" quotePrefix="0" xfId="3">
      <alignment horizontal="center" vertical="center" shrinkToFit="1"/>
    </xf>
    <xf numFmtId="0" fontId="15" fillId="0" borderId="91" applyAlignment="1" pivotButton="0" quotePrefix="0" xfId="3">
      <alignment horizontal="center" vertical="center" shrinkToFit="1"/>
    </xf>
    <xf numFmtId="0" fontId="15" fillId="0" borderId="92" applyAlignment="1" pivotButton="0" quotePrefix="0" xfId="3">
      <alignment horizontal="center" vertical="center" shrinkToFit="1"/>
    </xf>
    <xf numFmtId="0" fontId="15" fillId="0" borderId="93" applyAlignment="1" pivotButton="0" quotePrefix="0" xfId="3">
      <alignment horizontal="center" vertical="center" shrinkToFit="1"/>
    </xf>
    <xf numFmtId="0" fontId="12" fillId="0" borderId="90" applyAlignment="1" pivotButton="0" quotePrefix="0" xfId="3">
      <alignment horizontal="center" vertical="center" shrinkToFit="1"/>
    </xf>
    <xf numFmtId="0" fontId="12" fillId="0" borderId="92" applyAlignment="1" pivotButton="0" quotePrefix="0" xfId="3">
      <alignment horizontal="center" vertical="center" shrinkToFit="1"/>
    </xf>
    <xf numFmtId="0" fontId="15" fillId="8" borderId="103" applyAlignment="1" pivotButton="0" quotePrefix="0" xfId="3">
      <alignment horizontal="center" vertical="center" shrinkToFit="1"/>
    </xf>
    <xf numFmtId="0" fontId="15" fillId="9" borderId="63" applyAlignment="1" pivotButton="0" quotePrefix="0" xfId="3">
      <alignment horizontal="center" vertical="center" shrinkToFit="1"/>
    </xf>
    <xf numFmtId="0" fontId="12" fillId="0" borderId="58" applyAlignment="1" pivotButton="0" quotePrefix="0" xfId="3">
      <alignment horizontal="center" vertical="center" shrinkToFit="1"/>
    </xf>
    <xf numFmtId="0" fontId="12" fillId="0" borderId="43" applyAlignment="1" pivotButton="0" quotePrefix="0" xfId="3">
      <alignment horizontal="center" vertical="center" shrinkToFit="1"/>
    </xf>
    <xf numFmtId="0" fontId="15" fillId="0" borderId="44" applyAlignment="1" pivotButton="0" quotePrefix="0" xfId="3">
      <alignment horizontal="center" vertical="center" shrinkToFit="1"/>
    </xf>
    <xf numFmtId="0" fontId="12" fillId="0" borderId="17" applyAlignment="1" pivotButton="0" quotePrefix="0" xfId="3">
      <alignment horizontal="center" vertical="center" shrinkToFit="1"/>
    </xf>
    <xf numFmtId="0" fontId="15" fillId="0" borderId="51" applyAlignment="1" pivotButton="0" quotePrefix="0" xfId="3">
      <alignment horizontal="center" vertical="center" shrinkToFit="1"/>
    </xf>
    <xf numFmtId="0" fontId="15" fillId="9" borderId="85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8" borderId="96" applyAlignment="1" pivotButton="0" quotePrefix="0" xfId="3">
      <alignment horizontal="center" vertical="center" shrinkToFit="1"/>
    </xf>
    <xf numFmtId="0" fontId="15" fillId="8" borderId="97" applyAlignment="1" pivotButton="0" quotePrefix="0" xfId="3">
      <alignment horizontal="center" vertical="center" shrinkToFit="1"/>
    </xf>
    <xf numFmtId="0" fontId="15" fillId="8" borderId="98" applyAlignment="1" pivotButton="0" quotePrefix="0" xfId="3">
      <alignment horizontal="center" vertical="center" shrinkToFit="1"/>
    </xf>
    <xf numFmtId="0" fontId="15" fillId="8" borderId="99" applyAlignment="1" pivotButton="0" quotePrefix="0" xfId="3">
      <alignment horizontal="center" vertical="center" shrinkToFit="1"/>
    </xf>
    <xf numFmtId="0" fontId="15" fillId="8" borderId="100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12" fillId="0" borderId="46" applyAlignment="1" pivotButton="0" quotePrefix="0" xfId="3">
      <alignment horizontal="center" vertical="center" shrinkToFit="1"/>
    </xf>
    <xf numFmtId="0" fontId="15" fillId="3" borderId="48" applyAlignment="1" pivotButton="0" quotePrefix="0" xfId="3">
      <alignment horizontal="center" vertical="center" shrinkToFit="1"/>
    </xf>
    <xf numFmtId="0" fontId="15" fillId="3" borderId="91" applyAlignment="1" pivotButton="0" quotePrefix="0" xfId="3">
      <alignment horizontal="center" vertical="center" shrinkToFit="1"/>
    </xf>
    <xf numFmtId="0" fontId="15" fillId="3" borderId="60" applyAlignment="1" pivotButton="0" quotePrefix="0" xfId="3">
      <alignment horizontal="center" vertical="center" shrinkToFit="1"/>
    </xf>
    <xf numFmtId="0" fontId="12" fillId="0" borderId="62" applyAlignment="1" pivotButton="0" quotePrefix="0" xfId="3">
      <alignment horizontal="center" vertical="center" shrinkToFit="1"/>
    </xf>
    <xf numFmtId="0" fontId="12" fillId="0" borderId="64" applyAlignment="1" pivotButton="0" quotePrefix="0" xfId="3">
      <alignment horizontal="center" vertical="center" shrinkToFit="1"/>
    </xf>
    <xf numFmtId="0" fontId="15" fillId="3" borderId="65" applyAlignment="1" pivotButton="0" quotePrefix="0" xfId="3">
      <alignment horizontal="center" vertical="center" shrinkToFit="1"/>
    </xf>
    <xf numFmtId="0" fontId="12" fillId="0" borderId="57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0" borderId="9" applyAlignment="1" pivotButton="0" quotePrefix="0" xfId="3">
      <alignment horizontal="center" vertical="center" shrinkToFit="1"/>
    </xf>
    <xf numFmtId="0" fontId="12" fillId="0" borderId="52" applyAlignment="1" pivotButton="0" quotePrefix="0" xfId="3">
      <alignment horizontal="center" vertical="center" shrinkToFit="1"/>
    </xf>
    <xf numFmtId="0" fontId="15" fillId="0" borderId="5" applyAlignment="1" pivotButton="0" quotePrefix="0" xfId="3">
      <alignment horizontal="center" vertical="center" shrinkToFit="1"/>
    </xf>
    <xf numFmtId="0" fontId="15" fillId="0" borderId="52" applyAlignment="1" pivotButton="0" quotePrefix="0" xfId="3">
      <alignment horizontal="center" vertical="center" shrinkToFit="1"/>
    </xf>
    <xf numFmtId="14" fontId="32" fillId="0" borderId="0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horizontal="right" vertical="center"/>
    </xf>
    <xf numFmtId="0" fontId="33" fillId="0" borderId="0" applyAlignment="1" pivotButton="0" quotePrefix="0" xfId="3">
      <alignment horizontal="left" vertical="center" shrinkToFit="1"/>
    </xf>
    <xf numFmtId="0" fontId="33" fillId="0" borderId="0" applyAlignment="1" pivotButton="0" quotePrefix="0" xfId="3">
      <alignment horizontal="left" vertical="center"/>
    </xf>
    <xf numFmtId="0" fontId="15" fillId="0" borderId="43" applyAlignment="1" pivotButton="0" quotePrefix="0" xfId="3">
      <alignment horizontal="center" vertical="center" shrinkToFit="1"/>
    </xf>
    <xf numFmtId="0" fontId="12" fillId="0" borderId="95" applyAlignment="1" pivotButton="0" quotePrefix="0" xfId="3">
      <alignment horizontal="center" vertical="center" shrinkToFit="1"/>
    </xf>
    <xf numFmtId="0" fontId="8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wrapText="1" shrinkToFit="1"/>
    </xf>
    <xf numFmtId="0" fontId="33" fillId="0" borderId="14" applyAlignment="1" pivotButton="0" quotePrefix="0" xfId="3">
      <alignment horizontal="left" vertical="center"/>
    </xf>
    <xf numFmtId="0" fontId="7" fillId="0" borderId="0" applyAlignment="1" pivotButton="0" quotePrefix="0" xfId="3">
      <alignment vertical="center" shrinkToFit="1"/>
    </xf>
    <xf numFmtId="56" fontId="15" fillId="0" borderId="0" applyAlignment="1" pivotButton="0" quotePrefix="0" xfId="3">
      <alignment vertical="center" shrinkToFit="1"/>
    </xf>
    <xf numFmtId="0" fontId="36" fillId="0" borderId="20" applyAlignment="1" pivotButton="0" quotePrefix="0" xfId="3">
      <alignment horizontal="center" vertical="center" shrinkToFit="1"/>
    </xf>
    <xf numFmtId="0" fontId="36" fillId="0" borderId="22" applyAlignment="1" pivotButton="0" quotePrefix="0" xfId="3">
      <alignment horizontal="center" vertical="center" shrinkToFit="1"/>
    </xf>
    <xf numFmtId="0" fontId="12" fillId="0" borderId="23" applyAlignment="1" pivotButton="0" quotePrefix="0" xfId="3">
      <alignment vertical="center" shrinkToFit="1"/>
    </xf>
    <xf numFmtId="0" fontId="12" fillId="2" borderId="57" applyAlignment="1" pivotButton="0" quotePrefix="0" xfId="3">
      <alignment horizontal="center" vertical="center" shrinkToFit="1"/>
    </xf>
    <xf numFmtId="0" fontId="22" fillId="0" borderId="51" applyAlignment="1" pivotButton="0" quotePrefix="0" xfId="3">
      <alignment horizontal="center" vertical="center" shrinkToFit="1"/>
    </xf>
    <xf numFmtId="0" fontId="39" fillId="0" borderId="0" applyAlignment="1" pivotButton="0" quotePrefix="0" xfId="3">
      <alignment horizontal="center" vertical="center" shrinkToFit="1"/>
    </xf>
    <xf numFmtId="0" fontId="40" fillId="0" borderId="12" applyAlignment="1" pivotButton="0" quotePrefix="0" xfId="3">
      <alignment horizontal="center" vertical="center"/>
    </xf>
    <xf numFmtId="0" fontId="40" fillId="0" borderId="0" applyAlignment="1" pivotButton="0" quotePrefix="0" xfId="3">
      <alignment horizontal="center" vertical="center"/>
    </xf>
    <xf numFmtId="0" fontId="41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/>
    </xf>
    <xf numFmtId="0" fontId="12" fillId="0" borderId="3" applyAlignment="1" pivotButton="0" quotePrefix="0" xfId="3">
      <alignment horizontal="center" vertical="center" shrinkToFit="1"/>
    </xf>
    <xf numFmtId="0" fontId="12" fillId="0" borderId="93" applyAlignment="1" pivotButton="0" quotePrefix="0" xfId="3">
      <alignment horizontal="center" vertical="center" shrinkToFit="1"/>
    </xf>
    <xf numFmtId="0" fontId="13" fillId="0" borderId="93" applyAlignment="1" pivotButton="0" quotePrefix="0" xfId="3">
      <alignment horizontal="center" vertical="center" shrinkToFit="1"/>
    </xf>
    <xf numFmtId="0" fontId="12" fillId="0" borderId="56" applyAlignment="1" pivotButton="0" quotePrefix="0" xfId="3">
      <alignment horizontal="center" vertical="center" shrinkToFit="1"/>
    </xf>
    <xf numFmtId="0" fontId="12" fillId="0" borderId="74" applyAlignment="1" pivotButton="0" quotePrefix="0" xfId="3">
      <alignment horizontal="center" vertical="center" shrinkToFit="1"/>
    </xf>
    <xf numFmtId="0" fontId="13" fillId="0" borderId="52" applyAlignment="1" pivotButton="0" quotePrefix="0" xfId="3">
      <alignment horizontal="center" vertical="center" shrinkToFit="1"/>
    </xf>
    <xf numFmtId="0" fontId="22" fillId="0" borderId="20" applyAlignment="1" pivotButton="0" quotePrefix="0" xfId="3">
      <alignment horizontal="center" vertical="center" shrinkToFit="1"/>
    </xf>
    <xf numFmtId="0" fontId="22" fillId="0" borderId="23" applyAlignment="1" pivotButton="0" quotePrefix="0" xfId="3">
      <alignment horizontal="center" vertical="center" shrinkToFit="1"/>
    </xf>
    <xf numFmtId="0" fontId="22" fillId="0" borderId="26" applyAlignment="1" pivotButton="0" quotePrefix="0" xfId="3">
      <alignment horizontal="center" vertical="center" shrinkToFit="1"/>
    </xf>
    <xf numFmtId="0" fontId="22" fillId="0" borderId="21" applyAlignment="1" pivotButton="0" quotePrefix="0" xfId="3">
      <alignment horizontal="center" vertical="center" shrinkToFit="1"/>
    </xf>
    <xf numFmtId="0" fontId="22" fillId="0" borderId="28" applyAlignment="1" pivotButton="0" quotePrefix="0" xfId="3">
      <alignment horizontal="center" vertical="center" shrinkToFit="1"/>
    </xf>
    <xf numFmtId="0" fontId="45" fillId="0" borderId="0" applyAlignment="1" pivotButton="0" quotePrefix="0" xfId="3">
      <alignment vertical="center"/>
    </xf>
    <xf numFmtId="0" fontId="38" fillId="0" borderId="91" applyAlignment="1" pivotButton="0" quotePrefix="0" xfId="3">
      <alignment horizontal="center" vertical="center" shrinkToFit="1"/>
    </xf>
    <xf numFmtId="0" fontId="15" fillId="0" borderId="114" applyAlignment="1" pivotButton="0" quotePrefix="0" xfId="3">
      <alignment horizontal="center" vertical="center" shrinkToFit="1"/>
    </xf>
    <xf numFmtId="0" fontId="15" fillId="0" borderId="115" applyAlignment="1" pivotButton="0" quotePrefix="0" xfId="3">
      <alignment horizontal="center" vertical="center" shrinkToFit="1"/>
    </xf>
    <xf numFmtId="0" fontId="13" fillId="0" borderId="51" applyAlignment="1" pivotButton="0" quotePrefix="0" xfId="3">
      <alignment horizontal="center" vertical="center" shrinkToFit="1"/>
    </xf>
    <xf numFmtId="0" fontId="47" fillId="0" borderId="0" applyAlignment="1" pivotButton="0" quotePrefix="0" xfId="3">
      <alignment horizontal="right" vertical="center" shrinkToFit="1"/>
    </xf>
    <xf numFmtId="0" fontId="46" fillId="0" borderId="0" applyAlignment="1" pivotButton="0" quotePrefix="0" xfId="3">
      <alignment vertical="center"/>
    </xf>
    <xf numFmtId="0" fontId="12" fillId="0" borderId="63" applyAlignment="1" pivotButton="0" quotePrefix="0" xfId="3">
      <alignment horizontal="center" vertical="center" shrinkToFit="1"/>
    </xf>
    <xf numFmtId="0" fontId="12" fillId="0" borderId="41" applyAlignment="1" pivotButton="0" quotePrefix="0" xfId="3">
      <alignment horizontal="center" vertical="center" shrinkToFit="1"/>
    </xf>
    <xf numFmtId="0" fontId="12" fillId="2" borderId="3" applyAlignment="1" pivotButton="0" quotePrefix="0" xfId="3">
      <alignment horizontal="center" vertical="center" shrinkToFit="1"/>
    </xf>
    <xf numFmtId="0" fontId="12" fillId="0" borderId="13" applyAlignment="1" pivotButton="0" quotePrefix="0" xfId="3">
      <alignment horizontal="center" vertical="center" shrinkToFit="1"/>
    </xf>
    <xf numFmtId="0" fontId="12" fillId="0" borderId="75" applyAlignment="1" pivotButton="0" quotePrefix="0" xfId="3">
      <alignment horizontal="center" vertical="center" shrinkToFit="1"/>
    </xf>
    <xf numFmtId="0" fontId="12" fillId="0" borderId="94" applyAlignment="1" pivotButton="0" quotePrefix="0" xfId="3">
      <alignment horizontal="center" vertical="center" shrinkToFit="1"/>
    </xf>
    <xf numFmtId="0" fontId="12" fillId="0" borderId="77" applyAlignment="1" pivotButton="0" quotePrefix="0" xfId="3">
      <alignment horizontal="center" vertical="center" shrinkToFit="1"/>
    </xf>
    <xf numFmtId="0" fontId="12" fillId="0" borderId="61" applyAlignment="1" pivotButton="0" quotePrefix="0" xfId="3">
      <alignment horizontal="center" vertical="center" shrinkToFit="1"/>
    </xf>
    <xf numFmtId="0" fontId="12" fillId="2" borderId="62" applyAlignment="1" pivotButton="0" quotePrefix="0" xfId="3">
      <alignment horizontal="center" vertical="center" shrinkToFit="1"/>
    </xf>
    <xf numFmtId="0" fontId="12" fillId="0" borderId="42" applyAlignment="1" pivotButton="0" quotePrefix="0" xfId="3">
      <alignment horizontal="center" vertical="center" shrinkToFit="1"/>
    </xf>
    <xf numFmtId="0" fontId="12" fillId="0" borderId="65" applyAlignment="1" pivotButton="0" quotePrefix="0" xfId="3">
      <alignment horizontal="center" vertical="center" shrinkToFit="1"/>
    </xf>
    <xf numFmtId="0" fontId="12" fillId="2" borderId="91" applyAlignment="1" pivotButton="0" quotePrefix="0" xfId="3">
      <alignment horizontal="center" vertical="center" shrinkToFit="1"/>
    </xf>
    <xf numFmtId="0" fontId="12" fillId="2" borderId="92" applyAlignment="1" pivotButton="0" quotePrefix="0" xfId="3">
      <alignment horizontal="center" vertical="center" shrinkToFit="1"/>
    </xf>
    <xf numFmtId="0" fontId="51" fillId="0" borderId="23" applyAlignment="1" pivotButton="0" quotePrefix="0" xfId="3">
      <alignment horizontal="center" vertical="center" shrinkToFit="1"/>
    </xf>
    <xf numFmtId="0" fontId="51" fillId="0" borderId="26" applyAlignment="1" pivotButton="0" quotePrefix="0" xfId="3">
      <alignment horizontal="center" vertical="center" shrinkToFit="1"/>
    </xf>
    <xf numFmtId="0" fontId="51" fillId="0" borderId="24" applyAlignment="1" pivotButton="0" quotePrefix="0" xfId="3">
      <alignment horizontal="center" vertical="center" shrinkToFit="1"/>
    </xf>
    <xf numFmtId="0" fontId="51" fillId="0" borderId="20" applyAlignment="1" pivotButton="0" quotePrefix="0" xfId="3">
      <alignment horizontal="center" vertical="center" shrinkToFit="1"/>
    </xf>
    <xf numFmtId="0" fontId="51" fillId="0" borderId="21" applyAlignment="1" pivotButton="0" quotePrefix="0" xfId="3">
      <alignment horizontal="center" vertical="center" shrinkToFit="1"/>
    </xf>
    <xf numFmtId="0" fontId="51" fillId="0" borderId="6" applyAlignment="1" pivotButton="0" quotePrefix="0" xfId="3">
      <alignment horizontal="center" vertical="center" shrinkToFit="1"/>
    </xf>
    <xf numFmtId="0" fontId="51" fillId="0" borderId="28" applyAlignment="1" pivotButton="0" quotePrefix="0" xfId="3">
      <alignment horizontal="center" vertical="center" shrinkToFit="1"/>
    </xf>
    <xf numFmtId="0" fontId="51" fillId="0" borderId="83" applyAlignment="1" pivotButton="0" quotePrefix="0" xfId="3">
      <alignment horizontal="center" vertical="center" shrinkToFit="1"/>
    </xf>
    <xf numFmtId="0" fontId="51" fillId="0" borderId="25" applyAlignment="1" pivotButton="0" quotePrefix="0" xfId="3">
      <alignment horizontal="center" vertical="center" shrinkToFit="1"/>
    </xf>
    <xf numFmtId="0" fontId="51" fillId="0" borderId="27" applyAlignment="1" pivotButton="0" quotePrefix="0" xfId="3">
      <alignment horizontal="center" vertical="center" shrinkToFit="1"/>
    </xf>
    <xf numFmtId="0" fontId="51" fillId="0" borderId="22" applyAlignment="1" pivotButton="0" quotePrefix="0" xfId="3">
      <alignment horizontal="center" vertical="center" shrinkToFit="1"/>
    </xf>
    <xf numFmtId="0" fontId="52" fillId="0" borderId="0" applyAlignment="1" pivotButton="0" quotePrefix="0" xfId="3">
      <alignment vertical="center" shrinkToFit="1"/>
    </xf>
    <xf numFmtId="0" fontId="31" fillId="0" borderId="0" applyAlignment="1" pivotButton="0" quotePrefix="0" xfId="3">
      <alignment vertical="center" shrinkToFit="1"/>
    </xf>
    <xf numFmtId="0" fontId="33" fillId="0" borderId="4" applyAlignment="1" pivotButton="0" quotePrefix="0" xfId="3">
      <alignment horizontal="left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 shrinkToFit="1"/>
    </xf>
    <xf numFmtId="0" fontId="12" fillId="0" borderId="54" applyAlignment="1" pivotButton="0" quotePrefix="0" xfId="3">
      <alignment horizontal="center" vertical="center" shrinkToFit="1"/>
    </xf>
    <xf numFmtId="0" fontId="12" fillId="0" borderId="60" applyAlignment="1" pivotButton="0" quotePrefix="0" xfId="3">
      <alignment horizontal="center" vertical="center" shrinkToFit="1"/>
    </xf>
    <xf numFmtId="0" fontId="12" fillId="0" borderId="48" applyAlignment="1" pivotButton="0" quotePrefix="0" xfId="3">
      <alignment horizontal="center" vertical="center" shrinkToFit="1"/>
    </xf>
    <xf numFmtId="0" fontId="12" fillId="0" borderId="91" applyAlignment="1" pivotButton="0" quotePrefix="0" xfId="3">
      <alignment horizontal="center" vertical="center" shrinkToFit="1"/>
    </xf>
    <xf numFmtId="0" fontId="12" fillId="0" borderId="71" applyAlignment="1" pivotButton="0" quotePrefix="0" xfId="3">
      <alignment horizontal="center" vertical="center" shrinkToFit="1"/>
    </xf>
    <xf numFmtId="0" fontId="12" fillId="0" borderId="78" applyAlignment="1" pivotButton="0" quotePrefix="0" xfId="3">
      <alignment horizontal="center" vertical="center" shrinkToFit="1"/>
    </xf>
    <xf numFmtId="0" fontId="12" fillId="9" borderId="16" applyAlignment="1" pivotButton="0" quotePrefix="0" xfId="3">
      <alignment horizontal="center" vertical="center" shrinkToFit="1"/>
    </xf>
    <xf numFmtId="0" fontId="12" fillId="0" borderId="44" applyAlignment="1" pivotButton="0" quotePrefix="0" xfId="3">
      <alignment horizontal="center" vertical="center" shrinkToFit="1"/>
    </xf>
    <xf numFmtId="0" fontId="12" fillId="9" borderId="47" applyAlignment="1" pivotButton="0" quotePrefix="0" xfId="3">
      <alignment horizontal="center" vertical="center" shrinkToFit="1"/>
    </xf>
    <xf numFmtId="0" fontId="12" fillId="0" borderId="50" applyAlignment="1" pivotButton="0" quotePrefix="0" xfId="3">
      <alignment horizontal="center" vertical="center" shrinkToFit="1"/>
    </xf>
    <xf numFmtId="0" fontId="12" fillId="9" borderId="85" applyAlignment="1" pivotButton="0" quotePrefix="0" xfId="3">
      <alignment horizontal="center" vertical="center" shrinkToFit="1"/>
    </xf>
    <xf numFmtId="0" fontId="12" fillId="0" borderId="116" applyAlignment="1" pivotButton="0" quotePrefix="0" xfId="3">
      <alignment horizontal="center" vertical="center" shrinkToFit="1"/>
    </xf>
    <xf numFmtId="0" fontId="12" fillId="0" borderId="66" applyAlignment="1" pivotButton="0" quotePrefix="0" xfId="3">
      <alignment horizontal="center" vertical="center" shrinkToFit="1"/>
    </xf>
    <xf numFmtId="0" fontId="12" fillId="0" borderId="47" applyAlignment="1" pivotButton="0" quotePrefix="0" xfId="3">
      <alignment horizontal="center" vertical="center" shrinkToFit="1"/>
    </xf>
    <xf numFmtId="0" fontId="12" fillId="0" borderId="49" applyAlignment="1" pivotButton="0" quotePrefix="0" xfId="3">
      <alignment horizontal="center" vertical="center" shrinkToFit="1"/>
    </xf>
    <xf numFmtId="164" fontId="15" fillId="5" borderId="6" applyAlignment="1" pivotButton="0" quotePrefix="0" xfId="3">
      <alignment horizontal="center" vertical="center" shrinkToFit="1"/>
    </xf>
    <xf numFmtId="49" fontId="15" fillId="5" borderId="6" applyAlignment="1" pivotButton="0" quotePrefix="0" xfId="3">
      <alignment horizontal="center" vertical="center" shrinkToFit="1"/>
    </xf>
    <xf numFmtId="0" fontId="13" fillId="5" borderId="6" applyAlignment="1" pivotButton="0" quotePrefix="0" xfId="3">
      <alignment horizontal="center" vertical="center" shrinkToFit="1"/>
    </xf>
    <xf numFmtId="0" fontId="15" fillId="0" borderId="4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41" fillId="2" borderId="0" applyAlignment="1" pivotButton="0" quotePrefix="0" xfId="3">
      <alignment horizontal="center" vertical="center" shrinkToFit="1"/>
    </xf>
    <xf numFmtId="0" fontId="15" fillId="2" borderId="1" applyAlignment="1" pivotButton="0" quotePrefix="0" xfId="3">
      <alignment vertical="center" wrapText="1" shrinkToFit="1"/>
    </xf>
    <xf numFmtId="0" fontId="6" fillId="0" borderId="4" applyAlignment="1" pivotButton="0" quotePrefix="0" xfId="3">
      <alignment vertical="center"/>
    </xf>
    <xf numFmtId="0" fontId="9" fillId="0" borderId="4" applyAlignment="1" pivotButton="0" quotePrefix="0" xfId="3">
      <alignment vertical="center"/>
    </xf>
    <xf numFmtId="0" fontId="36" fillId="0" borderId="21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right" vertical="center" shrinkToFit="1"/>
    </xf>
    <xf numFmtId="0" fontId="6" fillId="0" borderId="6" applyAlignment="1" pivotButton="0" quotePrefix="0" xfId="3">
      <alignment vertical="center"/>
    </xf>
    <xf numFmtId="165" fontId="6" fillId="0" borderId="0" applyAlignment="1" pivotButton="0" quotePrefix="0" xfId="3">
      <alignment vertical="center" shrinkToFit="1"/>
    </xf>
    <xf numFmtId="0" fontId="55" fillId="0" borderId="0" applyAlignment="1" pivotButton="0" quotePrefix="0" xfId="3">
      <alignment vertical="center"/>
    </xf>
    <xf numFmtId="0" fontId="56" fillId="0" borderId="0" applyAlignment="1" pivotButton="0" quotePrefix="0" xfId="3">
      <alignment horizontal="right" vertical="center" shrinkToFit="1"/>
    </xf>
    <xf numFmtId="0" fontId="56" fillId="0" borderId="117" applyAlignment="1" pivotButton="0" quotePrefix="0" xfId="3">
      <alignment horizontal="right" vertical="center" shrinkToFit="1"/>
    </xf>
    <xf numFmtId="0" fontId="57" fillId="0" borderId="0" applyAlignment="1" pivotButton="0" quotePrefix="0" xfId="3">
      <alignment horizontal="right" vertical="center" shrinkToFit="1"/>
    </xf>
    <xf numFmtId="0" fontId="12" fillId="9" borderId="63" applyAlignment="1" pivotButton="0" quotePrefix="0" xfId="3">
      <alignment horizontal="center" vertical="center" shrinkToFit="1"/>
    </xf>
    <xf numFmtId="0" fontId="12" fillId="0" borderId="15" applyAlignment="1" pivotButton="0" quotePrefix="0" xfId="3">
      <alignment horizontal="center" vertical="center" shrinkToFit="1"/>
    </xf>
    <xf numFmtId="0" fontId="12" fillId="0" borderId="70" applyAlignment="1" pivotButton="0" quotePrefix="0" xfId="3">
      <alignment horizontal="center" vertical="center" shrinkToFit="1"/>
    </xf>
    <xf numFmtId="0" fontId="15" fillId="8" borderId="61" applyAlignment="1" pivotButton="0" quotePrefix="0" xfId="3">
      <alignment horizontal="center" vertical="center" shrinkToFit="1"/>
    </xf>
    <xf numFmtId="0" fontId="15" fillId="8" borderId="62" applyAlignment="1" pivotButton="0" quotePrefix="1" xfId="3">
      <alignment horizontal="center" vertical="center" shrinkToFit="1"/>
    </xf>
    <xf numFmtId="0" fontId="12" fillId="2" borderId="115" applyAlignment="1" pivotButton="0" quotePrefix="0" xfId="3">
      <alignment horizontal="center" vertical="center" shrinkToFit="1"/>
    </xf>
    <xf numFmtId="0" fontId="12" fillId="2" borderId="93" applyAlignment="1" pivotButton="0" quotePrefix="0" xfId="3">
      <alignment horizontal="center" vertical="center" shrinkToFit="1"/>
    </xf>
    <xf numFmtId="0" fontId="12" fillId="2" borderId="93" applyAlignment="1" pivotButton="0" quotePrefix="1" xfId="3">
      <alignment horizontal="center" vertical="center" shrinkToFit="1"/>
    </xf>
    <xf numFmtId="0" fontId="12" fillId="9" borderId="94" applyAlignment="1" pivotButton="0" quotePrefix="0" xfId="3">
      <alignment horizontal="center" vertical="center" shrinkToFit="1"/>
    </xf>
    <xf numFmtId="0" fontId="15" fillId="8" borderId="58" applyAlignment="1" pivotButton="0" quotePrefix="0" xfId="3">
      <alignment horizontal="center" vertical="center" shrinkToFit="1"/>
    </xf>
    <xf numFmtId="0" fontId="15" fillId="8" borderId="71" applyAlignment="1" pivotButton="0" quotePrefix="0" xfId="3">
      <alignment horizontal="center" vertical="center" shrinkToFit="1"/>
    </xf>
    <xf numFmtId="0" fontId="15" fillId="8" borderId="14" applyAlignment="1" pivotButton="0" quotePrefix="0" xfId="3">
      <alignment horizontal="center" vertical="center" shrinkToFit="1"/>
    </xf>
    <xf numFmtId="0" fontId="15" fillId="8" borderId="2" applyAlignment="1" pivotButton="0" quotePrefix="0" xfId="3">
      <alignment horizontal="center" vertical="center" shrinkToFit="1"/>
    </xf>
    <xf numFmtId="0" fontId="12" fillId="8" borderId="2" applyAlignment="1" pivotButton="0" quotePrefix="0" xfId="3">
      <alignment horizontal="center" vertical="center" shrinkToFit="1"/>
    </xf>
    <xf numFmtId="0" fontId="15" fillId="8" borderId="17" applyAlignment="1" pivotButton="0" quotePrefix="0" xfId="3">
      <alignment horizontal="center" vertical="center" shrinkToFit="1"/>
    </xf>
    <xf numFmtId="0" fontId="15" fillId="8" borderId="119" applyAlignment="1" pivotButton="0" quotePrefix="0" xfId="3">
      <alignment horizontal="center" vertical="center" shrinkToFit="1"/>
    </xf>
    <xf numFmtId="0" fontId="15" fillId="8" borderId="120" applyAlignment="1" pivotButton="0" quotePrefix="0" xfId="3">
      <alignment horizontal="center" vertical="center" shrinkToFit="1"/>
    </xf>
    <xf numFmtId="0" fontId="15" fillId="8" borderId="121" applyAlignment="1" pivotButton="0" quotePrefix="0" xfId="3">
      <alignment horizontal="center" vertical="center" shrinkToFit="1"/>
    </xf>
    <xf numFmtId="0" fontId="15" fillId="8" borderId="122" applyAlignment="1" pivotButton="0" quotePrefix="0" xfId="3">
      <alignment horizontal="center" vertical="center" shrinkToFit="1"/>
    </xf>
    <xf numFmtId="0" fontId="12" fillId="8" borderId="122" applyAlignment="1" pivotButton="0" quotePrefix="0" xfId="3">
      <alignment horizontal="center" vertical="center" shrinkToFit="1"/>
    </xf>
    <xf numFmtId="0" fontId="15" fillId="8" borderId="110" applyAlignment="1" pivotButton="0" quotePrefix="0" xfId="3">
      <alignment horizontal="center" vertical="center" shrinkToFit="1"/>
    </xf>
    <xf numFmtId="0" fontId="12" fillId="0" borderId="118" applyAlignment="1" pivotButton="0" quotePrefix="0" xfId="3">
      <alignment horizontal="center" vertical="center" shrinkToFit="1"/>
    </xf>
    <xf numFmtId="0" fontId="12" fillId="0" borderId="114" applyAlignment="1" pivotButton="0" quotePrefix="0" xfId="3">
      <alignment horizontal="center" vertical="center" shrinkToFit="1"/>
    </xf>
    <xf numFmtId="0" fontId="15" fillId="3" borderId="51" applyAlignment="1" pivotButton="0" quotePrefix="0" xfId="3">
      <alignment horizontal="center" vertical="center" shrinkToFit="1"/>
    </xf>
    <xf numFmtId="0" fontId="15" fillId="8" borderId="84" applyAlignment="1" pivotButton="0" quotePrefix="0" xfId="3">
      <alignment horizontal="center" vertical="center" shrinkToFit="1"/>
    </xf>
    <xf numFmtId="0" fontId="15" fillId="2" borderId="62" applyAlignment="1" pivotButton="0" quotePrefix="0" xfId="3">
      <alignment horizontal="center" vertical="center" shrinkToFit="1"/>
    </xf>
    <xf numFmtId="0" fontId="15" fillId="2" borderId="62" applyAlignment="1" pivotButton="0" quotePrefix="1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5" borderId="0" applyAlignment="1" pivotButton="0" quotePrefix="0" xfId="3">
      <alignment horizontal="center" vertical="center" shrinkToFit="1"/>
    </xf>
    <xf numFmtId="0" fontId="6" fillId="0" borderId="0" applyAlignment="1" pivotButton="0" quotePrefix="0" xfId="3">
      <alignment vertical="center"/>
    </xf>
    <xf numFmtId="0" fontId="15" fillId="3" borderId="0" applyAlignment="1" pivotButton="0" quotePrefix="0" xfId="3">
      <alignment vertical="center" shrinkToFit="1"/>
    </xf>
    <xf numFmtId="0" fontId="15" fillId="5" borderId="15" applyAlignment="1" pivotButton="0" quotePrefix="0" xfId="3">
      <alignment horizontal="center" vertical="center" shrinkToFit="1"/>
    </xf>
    <xf numFmtId="0" fontId="15" fillId="0" borderId="15" applyAlignment="1" pivotButton="0" quotePrefix="0" xfId="3">
      <alignment horizontal="center" vertical="center" shrinkToFit="1"/>
    </xf>
    <xf numFmtId="0" fontId="38" fillId="0" borderId="124" applyAlignment="1" pivotButton="0" quotePrefix="0" xfId="3">
      <alignment horizontal="center" vertical="center" shrinkToFit="1"/>
    </xf>
    <xf numFmtId="0" fontId="51" fillId="0" borderId="125" applyAlignment="1" pivotButton="0" quotePrefix="0" xfId="3">
      <alignment horizontal="center" vertical="center" shrinkToFit="1"/>
    </xf>
    <xf numFmtId="0" fontId="51" fillId="0" borderId="11" applyAlignment="1" pivotButton="0" quotePrefix="0" xfId="3">
      <alignment horizontal="center" vertical="center" shrinkToFit="1"/>
    </xf>
    <xf numFmtId="0" fontId="12" fillId="0" borderId="21" applyAlignment="1" pivotButton="0" quotePrefix="0" xfId="3">
      <alignment horizontal="center" vertical="center" shrinkToFit="1"/>
    </xf>
    <xf numFmtId="0" fontId="12" fillId="0" borderId="125" applyAlignment="1" pivotButton="0" quotePrefix="0" xfId="3">
      <alignment horizontal="center" vertical="center" shrinkToFit="1"/>
    </xf>
    <xf numFmtId="0" fontId="12" fillId="0" borderId="11" applyAlignment="1" pivotButton="0" quotePrefix="0" xfId="3">
      <alignment horizontal="center" vertical="center" shrinkToFit="1"/>
    </xf>
    <xf numFmtId="0" fontId="12" fillId="0" borderId="2" applyAlignment="1" pivotButton="0" quotePrefix="0" xfId="3">
      <alignment horizontal="center" vertical="center" shrinkToFit="1"/>
    </xf>
    <xf numFmtId="0" fontId="13" fillId="0" borderId="114" applyAlignment="1" pivotButton="0" quotePrefix="0" xfId="3">
      <alignment horizontal="center" vertical="center" shrinkToFit="1"/>
    </xf>
    <xf numFmtId="0" fontId="51" fillId="0" borderId="126" applyAlignment="1" pivotButton="0" quotePrefix="0" xfId="3">
      <alignment horizontal="center" vertical="center" shrinkToFit="1"/>
    </xf>
    <xf numFmtId="0" fontId="51" fillId="0" borderId="127" applyAlignment="1" pivotButton="0" quotePrefix="0" xfId="3">
      <alignment horizontal="center" vertical="center" shrinkToFit="1"/>
    </xf>
    <xf numFmtId="0" fontId="51" fillId="0" borderId="128" applyAlignment="1" pivotButton="0" quotePrefix="0" xfId="3">
      <alignment horizontal="center" vertical="center" shrinkToFit="1"/>
    </xf>
    <xf numFmtId="0" fontId="36" fillId="0" borderId="129" applyAlignment="1" pivotButton="0" quotePrefix="0" xfId="3">
      <alignment horizontal="center" vertical="center" shrinkToFit="1"/>
    </xf>
    <xf numFmtId="0" fontId="51" fillId="0" borderId="130" applyAlignment="1" pivotButton="0" quotePrefix="0" xfId="3">
      <alignment horizontal="center" vertical="center" shrinkToFit="1"/>
    </xf>
    <xf numFmtId="0" fontId="51" fillId="0" borderId="131" applyAlignment="1" pivotButton="0" quotePrefix="0" xfId="3">
      <alignment horizontal="center" vertical="center" shrinkToFit="1"/>
    </xf>
    <xf numFmtId="0" fontId="12" fillId="0" borderId="132" applyAlignment="1" pivotButton="0" quotePrefix="0" xfId="3">
      <alignment horizontal="center" vertical="center" shrinkToFit="1"/>
    </xf>
    <xf numFmtId="0" fontId="12" fillId="0" borderId="130" applyAlignment="1" pivotButton="0" quotePrefix="0" xfId="3">
      <alignment horizontal="center" vertical="center" shrinkToFit="1"/>
    </xf>
    <xf numFmtId="0" fontId="12" fillId="0" borderId="133" applyAlignment="1" pivotButton="0" quotePrefix="0" xfId="3">
      <alignment horizontal="center" vertical="center" shrinkToFit="1"/>
    </xf>
    <xf numFmtId="0" fontId="12" fillId="0" borderId="135" applyAlignment="1" pivotButton="0" quotePrefix="0" xfId="3">
      <alignment horizontal="center" vertical="center" shrinkToFit="1"/>
    </xf>
    <xf numFmtId="0" fontId="15" fillId="8" borderId="136" applyAlignment="1" pivotButton="0" quotePrefix="0" xfId="3">
      <alignment horizontal="center" vertical="center" shrinkToFit="1"/>
    </xf>
    <xf numFmtId="0" fontId="12" fillId="8" borderId="137" applyAlignment="1" pivotButton="0" quotePrefix="0" xfId="3">
      <alignment horizontal="center" vertical="center" shrinkToFit="1"/>
    </xf>
    <xf numFmtId="0" fontId="15" fillId="0" borderId="9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shrinkToFit="1"/>
    </xf>
    <xf numFmtId="0" fontId="15" fillId="0" borderId="11" applyAlignment="1" pivotButton="0" quotePrefix="0" xfId="3">
      <alignment horizontal="center" vertical="center" shrinkToFit="1"/>
    </xf>
    <xf numFmtId="0" fontId="51" fillId="0" borderId="0" applyAlignment="1" pivotButton="0" quotePrefix="0" xfId="3">
      <alignment horizontal="center" vertical="center" shrinkToFit="1"/>
    </xf>
    <xf numFmtId="0" fontId="36" fillId="0" borderId="0" applyAlignment="1" pivotButton="0" quotePrefix="0" xfId="3">
      <alignment horizontal="center" vertical="center" shrinkToFit="1"/>
    </xf>
    <xf numFmtId="0" fontId="15" fillId="7" borderId="0" applyAlignment="1" pivotButton="0" quotePrefix="0" xfId="3">
      <alignment horizontal="center" vertical="center" shrinkToFit="1"/>
    </xf>
    <xf numFmtId="0" fontId="15" fillId="8" borderId="0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horizontal="center" vertical="center" shrinkToFit="1"/>
    </xf>
    <xf numFmtId="0" fontId="13" fillId="0" borderId="5" applyAlignment="1" pivotButton="0" quotePrefix="0" xfId="3">
      <alignment horizontal="center" vertical="center" shrinkToFit="1"/>
    </xf>
    <xf numFmtId="0" fontId="22" fillId="0" borderId="15" applyAlignment="1" pivotButton="0" quotePrefix="0" xfId="3">
      <alignment horizontal="center" vertical="center" shrinkToFit="1"/>
    </xf>
    <xf numFmtId="0" fontId="13" fillId="0" borderId="15" applyAlignment="1" pivotButton="0" quotePrefix="0" xfId="3">
      <alignment horizontal="center" vertical="center" shrinkToFit="1"/>
    </xf>
    <xf numFmtId="0" fontId="15" fillId="0" borderId="124" applyAlignment="1" pivotButton="0" quotePrefix="0" xfId="3">
      <alignment horizontal="center" vertical="center" shrinkToFit="1"/>
    </xf>
    <xf numFmtId="0" fontId="15" fillId="5" borderId="12" applyAlignment="1" pivotButton="0" quotePrefix="0" xfId="3">
      <alignment horizontal="center" vertical="center" shrinkToFit="1"/>
    </xf>
    <xf numFmtId="0" fontId="22" fillId="0" borderId="129" applyAlignment="1" pivotButton="0" quotePrefix="0" xfId="3">
      <alignment horizontal="center" vertical="center" shrinkToFit="1"/>
    </xf>
    <xf numFmtId="0" fontId="22" fillId="0" borderId="128" applyAlignment="1" pivotButton="0" quotePrefix="0" xfId="3">
      <alignment horizontal="center" vertical="center" shrinkToFit="1"/>
    </xf>
    <xf numFmtId="0" fontId="36" fillId="0" borderId="4" applyAlignment="1" pivotButton="0" quotePrefix="0" xfId="3">
      <alignment horizontal="center" vertical="center" shrinkToFit="1"/>
    </xf>
    <xf numFmtId="0" fontId="36" fillId="0" borderId="12" applyAlignment="1" pivotButton="0" quotePrefix="0" xfId="3">
      <alignment horizontal="center" vertical="center" shrinkToFit="1"/>
    </xf>
    <xf numFmtId="0" fontId="15" fillId="0" borderId="126" applyAlignment="1" pivotButton="0" quotePrefix="0" xfId="3">
      <alignment horizontal="center" vertical="center" shrinkToFit="1"/>
    </xf>
    <xf numFmtId="0" fontId="15" fillId="5" borderId="3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vertical="center" shrinkToFit="1"/>
    </xf>
    <xf numFmtId="0" fontId="12" fillId="2" borderId="11" applyAlignment="1" pivotButton="0" quotePrefix="0" xfId="3">
      <alignment horizontal="center" vertical="center" shrinkToFit="1"/>
    </xf>
    <xf numFmtId="0" fontId="12" fillId="2" borderId="114" applyAlignment="1" pivotButton="0" quotePrefix="1" xfId="3">
      <alignment horizontal="center" vertical="center" shrinkToFit="1"/>
    </xf>
    <xf numFmtId="0" fontId="12" fillId="8" borderId="10" applyAlignment="1" pivotButton="0" quotePrefix="0" xfId="3">
      <alignment horizontal="center" vertical="center" shrinkToFit="1"/>
    </xf>
    <xf numFmtId="0" fontId="12" fillId="9" borderId="0" applyAlignment="1" pivotButton="0" quotePrefix="0" xfId="3">
      <alignment horizontal="center" vertical="center" shrinkToFit="1"/>
    </xf>
    <xf numFmtId="0" fontId="38" fillId="0" borderId="0" applyAlignment="1" pivotButton="0" quotePrefix="0" xfId="3">
      <alignment horizontal="center" vertical="center" shrinkToFit="1"/>
    </xf>
    <xf numFmtId="0" fontId="12" fillId="0" borderId="138" applyAlignment="1" pivotButton="0" quotePrefix="0" xfId="3">
      <alignment horizontal="center" vertical="center" shrinkToFit="1"/>
    </xf>
    <xf numFmtId="0" fontId="8" fillId="0" borderId="6" applyAlignment="1" pivotButton="0" quotePrefix="0" xfId="3">
      <alignment vertical="center"/>
    </xf>
    <xf numFmtId="0" fontId="8" fillId="0" borderId="6" applyAlignment="1" pivotButton="0" quotePrefix="0" xfId="3">
      <alignment horizontal="center" vertical="center"/>
    </xf>
    <xf numFmtId="0" fontId="6" fillId="13" borderId="0" applyAlignment="1" pivotButton="0" quotePrefix="0" xfId="3">
      <alignment vertical="center"/>
    </xf>
    <xf numFmtId="0" fontId="9" fillId="13" borderId="0" applyAlignment="1" pivotButton="0" quotePrefix="0" xfId="3">
      <alignment vertical="center"/>
    </xf>
    <xf numFmtId="0" fontId="12" fillId="13" borderId="5" applyAlignment="1" pivotButton="0" quotePrefix="0" xfId="3">
      <alignment horizontal="center" vertical="center" shrinkToFit="1"/>
    </xf>
    <xf numFmtId="0" fontId="12" fillId="13" borderId="61" applyAlignment="1" pivotButton="0" quotePrefix="0" xfId="3">
      <alignment horizontal="center" vertical="center" shrinkToFit="1"/>
    </xf>
    <xf numFmtId="0" fontId="12" fillId="13" borderId="56" applyAlignment="1" pivotButton="0" quotePrefix="0" xfId="3">
      <alignment horizontal="center" vertical="center" shrinkToFit="1"/>
    </xf>
    <xf numFmtId="0" fontId="12" fillId="13" borderId="13" applyAlignment="1" pivotButton="0" quotePrefix="0" xfId="3">
      <alignment horizontal="center" vertical="center" shrinkToFit="1"/>
    </xf>
    <xf numFmtId="0" fontId="12" fillId="13" borderId="45" applyAlignment="1" pivotButton="0" quotePrefix="0" xfId="3">
      <alignment horizontal="center" vertical="center" shrinkToFit="1"/>
    </xf>
    <xf numFmtId="0" fontId="12" fillId="13" borderId="49" applyAlignment="1" pivotButton="0" quotePrefix="0" xfId="3">
      <alignment horizontal="center" vertical="center" shrinkToFit="1"/>
    </xf>
    <xf numFmtId="0" fontId="12" fillId="13" borderId="92" applyAlignment="1" pivotButton="0" quotePrefix="0" xfId="3">
      <alignment horizontal="center" vertical="center" shrinkToFit="1"/>
    </xf>
    <xf numFmtId="0" fontId="12" fillId="13" borderId="3" applyAlignment="1" pivotButton="0" quotePrefix="0" xfId="3">
      <alignment horizontal="center" vertical="center" shrinkToFit="1"/>
    </xf>
    <xf numFmtId="0" fontId="12" fillId="13" borderId="41" applyAlignment="1" pivotButton="0" quotePrefix="0" xfId="3">
      <alignment horizontal="center" vertical="center" shrinkToFit="1"/>
    </xf>
    <xf numFmtId="0" fontId="12" fillId="13" borderId="6" applyAlignment="1" pivotButton="0" quotePrefix="0" xfId="3">
      <alignment horizontal="center" vertical="center" shrinkToFit="1"/>
    </xf>
    <xf numFmtId="0" fontId="12" fillId="13" borderId="46" applyAlignment="1" pivotButton="0" quotePrefix="0" xfId="3">
      <alignment horizontal="center" vertical="center" shrinkToFit="1"/>
    </xf>
    <xf numFmtId="0" fontId="12" fillId="13" borderId="93" applyAlignment="1" pivotButton="0" quotePrefix="0" xfId="3">
      <alignment horizontal="center" vertical="center" shrinkToFit="1"/>
    </xf>
    <xf numFmtId="0" fontId="12" fillId="13" borderId="62" applyAlignment="1" pivotButton="0" quotePrefix="0" xfId="3">
      <alignment horizontal="center" vertical="center" shrinkToFit="1"/>
    </xf>
    <xf numFmtId="0" fontId="12" fillId="13" borderId="57" applyAlignment="1" pivotButton="0" quotePrefix="0" xfId="3">
      <alignment horizontal="center" vertical="center" shrinkToFit="1"/>
    </xf>
    <xf numFmtId="0" fontId="12" fillId="13" borderId="0" applyAlignment="1" pivotButton="0" quotePrefix="0" xfId="3">
      <alignment horizontal="center" vertical="center" shrinkToFit="1"/>
    </xf>
    <xf numFmtId="0" fontId="15" fillId="13" borderId="62" applyAlignment="1" pivotButton="0" quotePrefix="0" xfId="3">
      <alignment horizontal="center" vertical="center" shrinkToFit="1"/>
    </xf>
    <xf numFmtId="0" fontId="12" fillId="13" borderId="93" applyAlignment="1" pivotButton="0" quotePrefix="1" xfId="3">
      <alignment horizontal="center" vertical="center" shrinkToFit="1"/>
    </xf>
    <xf numFmtId="0" fontId="12" fillId="13" borderId="9" applyAlignment="1" pivotButton="0" quotePrefix="0" xfId="3">
      <alignment horizontal="center" vertical="center" shrinkToFit="1"/>
    </xf>
    <xf numFmtId="0" fontId="12" fillId="13" borderId="15" applyAlignment="1" pivotButton="0" quotePrefix="0" xfId="3">
      <alignment horizontal="center" vertical="center" shrinkToFit="1"/>
    </xf>
    <xf numFmtId="0" fontId="12" fillId="13" borderId="11" applyAlignment="1" pivotButton="0" quotePrefix="0" xfId="3">
      <alignment horizontal="center" vertical="center" shrinkToFit="1"/>
    </xf>
    <xf numFmtId="0" fontId="12" fillId="13" borderId="118" applyAlignment="1" pivotButton="0" quotePrefix="0" xfId="3">
      <alignment horizontal="center" vertical="center" shrinkToFit="1"/>
    </xf>
    <xf numFmtId="0" fontId="12" fillId="13" borderId="135" applyAlignment="1" pivotButton="0" quotePrefix="0" xfId="3">
      <alignment horizontal="center" vertical="center" shrinkToFit="1"/>
    </xf>
    <xf numFmtId="0" fontId="12" fillId="13" borderId="114" applyAlignment="1" pivotButton="0" quotePrefix="0" xfId="3">
      <alignment horizontal="center" vertical="center" shrinkToFit="1"/>
    </xf>
    <xf numFmtId="0" fontId="12" fillId="13" borderId="95" applyAlignment="1" pivotButton="0" quotePrefix="0" xfId="3">
      <alignment horizontal="center" vertical="center" shrinkToFit="1"/>
    </xf>
    <xf numFmtId="0" fontId="12" fillId="13" borderId="134" applyAlignment="1" pivotButton="0" quotePrefix="0" xfId="3">
      <alignment horizontal="center" vertical="center" shrinkToFit="1"/>
    </xf>
    <xf numFmtId="0" fontId="15" fillId="13" borderId="95" applyAlignment="1" pivotButton="0" quotePrefix="1" xfId="3">
      <alignment horizontal="center" vertical="center" shrinkToFit="1"/>
    </xf>
    <xf numFmtId="0" fontId="12" fillId="13" borderId="10" applyAlignment="1" pivotButton="0" quotePrefix="0" xfId="3">
      <alignment horizontal="center" vertical="center" shrinkToFit="1"/>
    </xf>
    <xf numFmtId="0" fontId="38" fillId="7" borderId="93" applyAlignment="1" pivotButton="0" quotePrefix="0" xfId="3">
      <alignment horizontal="center" vertical="center" shrinkToFit="1"/>
    </xf>
    <xf numFmtId="0" fontId="12" fillId="7" borderId="5" applyAlignment="1" pivotButton="0" quotePrefix="0" xfId="3">
      <alignment horizontal="center" vertical="center" shrinkToFit="1"/>
    </xf>
    <xf numFmtId="0" fontId="15" fillId="5" borderId="93" applyAlignment="1" pivotButton="0" quotePrefix="0" xfId="3">
      <alignment horizontal="center" vertical="center" shrinkToFit="1"/>
    </xf>
    <xf numFmtId="0" fontId="15" fillId="5" borderId="114" applyAlignment="1" pivotButton="0" quotePrefix="0" xfId="3">
      <alignment horizontal="center" vertical="center" shrinkToFit="1"/>
    </xf>
    <xf numFmtId="0" fontId="15" fillId="5" borderId="115" applyAlignment="1" pivotButton="0" quotePrefix="0" xfId="3">
      <alignment horizontal="center" vertical="center" shrinkToFit="1"/>
    </xf>
    <xf numFmtId="0" fontId="15" fillId="5" borderId="91" applyAlignment="1" pivotButton="0" quotePrefix="0" xfId="3">
      <alignment horizontal="center" vertical="center" shrinkToFit="1"/>
    </xf>
    <xf numFmtId="0" fontId="15" fillId="5" borderId="92" applyAlignment="1" pivotButton="0" quotePrefix="0" xfId="3">
      <alignment horizontal="center" vertical="center" shrinkToFit="1"/>
    </xf>
    <xf numFmtId="14" fontId="32" fillId="0" borderId="0" applyAlignment="1" pivotButton="0" quotePrefix="0" xfId="4">
      <alignment horizontal="center" vertical="center" shrinkToFit="1"/>
    </xf>
    <xf numFmtId="0" fontId="17" fillId="0" borderId="0" applyAlignment="1" pivotButton="0" quotePrefix="0" xfId="4">
      <alignment vertical="center"/>
    </xf>
    <xf numFmtId="0" fontId="21" fillId="0" borderId="12" applyAlignment="1" pivotButton="0" quotePrefix="0" xfId="4">
      <alignment vertical="center"/>
    </xf>
    <xf numFmtId="0" fontId="6" fillId="0" borderId="12" applyAlignment="1" pivotButton="0" quotePrefix="0" xfId="4">
      <alignment vertical="center"/>
    </xf>
    <xf numFmtId="0" fontId="6" fillId="0" borderId="0" applyAlignment="1" pivotButton="0" quotePrefix="0" xfId="4">
      <alignment vertical="center"/>
    </xf>
    <xf numFmtId="0" fontId="16" fillId="0" borderId="0" applyAlignment="1" pivotButton="0" quotePrefix="0" xfId="4">
      <alignment shrinkToFit="1"/>
    </xf>
    <xf numFmtId="0" fontId="16" fillId="0" borderId="12" applyAlignment="1" pivotButton="0" quotePrefix="0" xfId="4">
      <alignment vertical="center"/>
    </xf>
    <xf numFmtId="0" fontId="40" fillId="0" borderId="12" applyAlignment="1" pivotButton="0" quotePrefix="0" xfId="4">
      <alignment horizontal="center" vertical="center"/>
    </xf>
    <xf numFmtId="0" fontId="40" fillId="0" borderId="0" applyAlignment="1" pivotButton="0" quotePrefix="0" xfId="4">
      <alignment horizontal="center" vertical="center"/>
    </xf>
    <xf numFmtId="0" fontId="15" fillId="5" borderId="6" applyAlignment="1" pivotButton="0" quotePrefix="0" xfId="4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22" fillId="5" borderId="9" applyAlignment="1" pivotButton="0" quotePrefix="0" xfId="4">
      <alignment horizontal="center" vertical="center" shrinkToFit="1"/>
    </xf>
    <xf numFmtId="0" fontId="12" fillId="5" borderId="6" applyAlignment="1" pivotButton="0" quotePrefix="0" xfId="4">
      <alignment horizontal="center" vertical="center" shrinkToFit="1"/>
    </xf>
    <xf numFmtId="0" fontId="22" fillId="5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vertical="center" shrinkToFit="1"/>
    </xf>
    <xf numFmtId="0" fontId="15" fillId="0" borderId="6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56" fontId="6" fillId="0" borderId="0" applyAlignment="1" pivotButton="0" quotePrefix="0" xfId="4">
      <alignment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39" fillId="0" borderId="0" applyAlignment="1" pivotButton="0" quotePrefix="0" xfId="4">
      <alignment horizontal="center" vertical="center" shrinkToFit="1"/>
    </xf>
    <xf numFmtId="0" fontId="41" fillId="0" borderId="0" applyAlignment="1" pivotButton="0" quotePrefix="0" xfId="4">
      <alignment horizontal="center" vertical="center" shrinkToFit="1"/>
    </xf>
    <xf numFmtId="164" fontId="12" fillId="5" borderId="6" applyAlignment="1" pivotButton="0" quotePrefix="0" xfId="4">
      <alignment horizontal="center" vertical="center" shrinkToFit="1"/>
    </xf>
    <xf numFmtId="0" fontId="15" fillId="2" borderId="5" applyAlignment="1" pivotButton="0" quotePrefix="0" xfId="4">
      <alignment horizontal="center" vertical="center" shrinkToFit="1"/>
    </xf>
    <xf numFmtId="0" fontId="15" fillId="2" borderId="6" applyAlignment="1" pivotButton="0" quotePrefix="0" xfId="4">
      <alignment horizontal="center" vertical="center" shrinkToFit="1"/>
    </xf>
    <xf numFmtId="0" fontId="22" fillId="2" borderId="6" applyAlignment="1" pivotButton="0" quotePrefix="0" xfId="4">
      <alignment horizontal="center" vertical="center" shrinkToFit="1"/>
    </xf>
    <xf numFmtId="0" fontId="15" fillId="4" borderId="6" applyAlignment="1" pivotButton="0" quotePrefix="0" xfId="4">
      <alignment horizontal="center" vertical="center" shrinkToFit="1"/>
    </xf>
    <xf numFmtId="0" fontId="15" fillId="10" borderId="6" applyAlignment="1" pivotButton="0" quotePrefix="0" xfId="4">
      <alignment horizontal="center" vertical="center" shrinkToFit="1"/>
    </xf>
    <xf numFmtId="0" fontId="15" fillId="11" borderId="6" applyAlignment="1" pivotButton="0" quotePrefix="0" xfId="4">
      <alignment horizontal="center" vertical="center" shrinkToFit="1"/>
    </xf>
    <xf numFmtId="0" fontId="15" fillId="4" borderId="3" applyAlignment="1" pivotButton="0" quotePrefix="0" xfId="4">
      <alignment horizontal="center" vertical="center" shrinkToFit="1"/>
    </xf>
    <xf numFmtId="0" fontId="6" fillId="4" borderId="6" applyAlignment="1" pivotButton="0" quotePrefix="0" xfId="4">
      <alignment vertical="center"/>
    </xf>
    <xf numFmtId="0" fontId="15" fillId="9" borderId="6" applyAlignment="1" pivotButton="0" quotePrefix="0" xfId="4">
      <alignment horizontal="center" vertical="center" shrinkToFit="1"/>
    </xf>
    <xf numFmtId="0" fontId="15" fillId="10" borderId="11" applyAlignment="1" pivotButton="0" quotePrefix="0" xfId="4">
      <alignment vertical="center" wrapText="1" shrinkToFit="1"/>
    </xf>
    <xf numFmtId="0" fontId="15" fillId="0" borderId="0" applyAlignment="1" pivotButton="0" quotePrefix="0" xfId="4">
      <alignment horizontal="center" vertical="center" shrinkToFit="1"/>
    </xf>
    <xf numFmtId="49" fontId="15" fillId="11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horizontal="center"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5" borderId="9" applyAlignment="1" pivotButton="0" quotePrefix="0" xfId="4">
      <alignment horizontal="center" vertical="center" shrinkToFit="1"/>
    </xf>
    <xf numFmtId="0" fontId="15" fillId="5" borderId="82" applyAlignment="1" pivotButton="0" quotePrefix="0" xfId="4">
      <alignment horizontal="center" vertical="center" shrinkToFit="1"/>
    </xf>
    <xf numFmtId="0" fontId="15" fillId="0" borderId="0" applyAlignment="1" pivotButton="0" quotePrefix="0" xfId="4">
      <alignment vertical="center" shrinkToFit="1"/>
    </xf>
    <xf numFmtId="0" fontId="15" fillId="5" borderId="19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shrinkToFit="1"/>
    </xf>
    <xf numFmtId="0" fontId="22" fillId="0" borderId="20" applyAlignment="1" pivotButton="0" quotePrefix="0" xfId="4">
      <alignment horizontal="center" vertical="center" shrinkToFit="1"/>
    </xf>
    <xf numFmtId="0" fontId="51" fillId="0" borderId="20" applyAlignment="1" pivotButton="0" quotePrefix="0" xfId="4">
      <alignment horizontal="center" vertical="center" shrinkToFit="1"/>
    </xf>
    <xf numFmtId="0" fontId="51" fillId="0" borderId="21" applyAlignment="1" pivotButton="0" quotePrefix="0" xfId="4">
      <alignment horizontal="center" vertical="center" shrinkToFit="1"/>
    </xf>
    <xf numFmtId="0" fontId="51" fillId="0" borderId="83" applyAlignment="1" pivotButton="0" quotePrefix="0" xfId="4">
      <alignment horizontal="center" vertical="center" shrinkToFit="1"/>
    </xf>
    <xf numFmtId="0" fontId="12" fillId="0" borderId="20" applyAlignment="1" pivotButton="0" quotePrefix="0" xfId="4">
      <alignment horizontal="center" vertical="center" shrinkToFit="1"/>
    </xf>
    <xf numFmtId="0" fontId="22" fillId="0" borderId="21" applyAlignment="1" pivotButton="0" quotePrefix="0" xfId="4">
      <alignment horizontal="center" vertical="center" shrinkToFit="1"/>
    </xf>
    <xf numFmtId="0" fontId="51" fillId="0" borderId="22" applyAlignment="1" pivotButton="0" quotePrefix="0" xfId="4">
      <alignment horizontal="center" vertical="center" shrinkToFit="1"/>
    </xf>
    <xf numFmtId="56" fontId="15" fillId="0" borderId="0" applyAlignment="1" pivotButton="0" quotePrefix="0" xfId="4">
      <alignment vertical="center" shrinkToFit="1"/>
    </xf>
    <xf numFmtId="0" fontId="15" fillId="0" borderId="23" applyAlignment="1" pivotButton="0" quotePrefix="0" xfId="4">
      <alignment horizontal="center" vertical="center" shrinkToFit="1"/>
    </xf>
    <xf numFmtId="0" fontId="22" fillId="0" borderId="23" applyAlignment="1" pivotButton="0" quotePrefix="0" xfId="4">
      <alignment horizontal="center" vertical="center" shrinkToFit="1"/>
    </xf>
    <xf numFmtId="0" fontId="51" fillId="0" borderId="23" applyAlignment="1" pivotButton="0" quotePrefix="0" xfId="4">
      <alignment horizontal="center" vertical="center" shrinkToFit="1"/>
    </xf>
    <xf numFmtId="0" fontId="51" fillId="0" borderId="24" applyAlignment="1" pivotButton="0" quotePrefix="0" xfId="4">
      <alignment horizontal="center" vertical="center" shrinkToFit="1"/>
    </xf>
    <xf numFmtId="0" fontId="51" fillId="0" borderId="25" applyAlignment="1" pivotButton="0" quotePrefix="0" xfId="4">
      <alignment horizontal="center" vertical="center" shrinkToFit="1"/>
    </xf>
    <xf numFmtId="0" fontId="15" fillId="0" borderId="26" applyAlignment="1" pivotButton="0" quotePrefix="0" xfId="4">
      <alignment horizontal="center" vertical="center" shrinkToFit="1"/>
    </xf>
    <xf numFmtId="0" fontId="12" fillId="0" borderId="26" applyAlignment="1" pivotButton="0" quotePrefix="0" xfId="4">
      <alignment horizontal="center" vertical="center" shrinkToFit="1"/>
    </xf>
    <xf numFmtId="0" fontId="51" fillId="0" borderId="26" applyAlignment="1" pivotButton="0" quotePrefix="0" xfId="4">
      <alignment horizontal="center" vertical="center" shrinkToFit="1"/>
    </xf>
    <xf numFmtId="0" fontId="22" fillId="0" borderId="26" applyAlignment="1" pivotButton="0" quotePrefix="0" xfId="4">
      <alignment horizontal="center" vertical="center" shrinkToFit="1"/>
    </xf>
    <xf numFmtId="0" fontId="22" fillId="0" borderId="28" applyAlignment="1" pivotButton="0" quotePrefix="0" xfId="4">
      <alignment horizontal="center" vertical="center" shrinkToFit="1"/>
    </xf>
    <xf numFmtId="0" fontId="51" fillId="0" borderId="27" applyAlignment="1" pivotButton="0" quotePrefix="0" xfId="4">
      <alignment horizontal="center" vertical="center" shrinkToFit="1"/>
    </xf>
    <xf numFmtId="0" fontId="51" fillId="0" borderId="28" applyAlignment="1" pivotButton="0" quotePrefix="0" xfId="4">
      <alignment horizontal="center" vertical="center" shrinkToFit="1"/>
    </xf>
    <xf numFmtId="0" fontId="52" fillId="0" borderId="0" applyAlignment="1" pivotButton="0" quotePrefix="0" xfId="4">
      <alignment vertical="center" shrinkToFit="1"/>
    </xf>
    <xf numFmtId="0" fontId="36" fillId="0" borderId="20" applyAlignment="1" pivotButton="0" quotePrefix="0" xfId="4">
      <alignment horizontal="center" vertical="center" shrinkToFit="1"/>
    </xf>
    <xf numFmtId="0" fontId="36" fillId="2" borderId="21" applyAlignment="1" pivotButton="0" quotePrefix="0" xfId="4">
      <alignment horizontal="center" vertical="center" shrinkToFit="1"/>
    </xf>
    <xf numFmtId="0" fontId="36" fillId="0" borderId="22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2" fillId="0" borderId="109" applyAlignment="1" pivotButton="0" quotePrefix="0" xfId="4">
      <alignment horizontal="center" vertical="center" shrinkToFit="1"/>
    </xf>
    <xf numFmtId="0" fontId="15" fillId="9" borderId="41" applyAlignment="1" pivotButton="0" quotePrefix="0" xfId="4">
      <alignment vertical="center" shrinkToFit="1"/>
    </xf>
    <xf numFmtId="0" fontId="24" fillId="0" borderId="0" applyAlignment="1" pivotButton="0" quotePrefix="0" xfId="4">
      <alignment vertical="center" wrapText="1" shrinkToFit="1"/>
    </xf>
    <xf numFmtId="0" fontId="51" fillId="0" borderId="6" applyAlignment="1" pivotButton="0" quotePrefix="0" xfId="4">
      <alignment horizontal="center" vertical="center" shrinkToFit="1"/>
    </xf>
    <xf numFmtId="0" fontId="15" fillId="9" borderId="1" applyAlignment="1" pivotButton="0" quotePrefix="0" xfId="4">
      <alignment vertical="center" shrinkToFit="1"/>
    </xf>
    <xf numFmtId="0" fontId="15" fillId="0" borderId="12" applyAlignment="1" pivotButton="0" quotePrefix="0" xfId="4">
      <alignment vertical="center" shrinkToFit="1"/>
    </xf>
    <xf numFmtId="0" fontId="6" fillId="0" borderId="15" applyAlignment="1" pivotButton="0" quotePrefix="0" xfId="4">
      <alignment vertical="center"/>
    </xf>
    <xf numFmtId="0" fontId="25" fillId="0" borderId="8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33" fillId="0" borderId="10" applyAlignment="1" pivotButton="0" quotePrefix="0" xfId="4">
      <alignment vertical="center"/>
    </xf>
    <xf numFmtId="0" fontId="25" fillId="0" borderId="14" applyAlignment="1" pivotButton="0" quotePrefix="0" xfId="4">
      <alignment vertical="center"/>
    </xf>
    <xf numFmtId="0" fontId="33" fillId="0" borderId="0" applyAlignment="1" pivotButton="0" quotePrefix="0" xfId="4">
      <alignment horizontal="left" vertical="center" shrinkToFit="1"/>
    </xf>
    <xf numFmtId="0" fontId="33" fillId="0" borderId="10" applyAlignment="1" pivotButton="0" quotePrefix="0" xfId="4">
      <alignment horizontal="left" vertical="center"/>
    </xf>
    <xf numFmtId="0" fontId="33" fillId="0" borderId="0" applyAlignment="1" pivotButton="0" quotePrefix="0" xfId="4">
      <alignment horizontal="left" vertical="center"/>
    </xf>
    <xf numFmtId="0" fontId="33" fillId="0" borderId="14" applyAlignment="1" pivotButton="0" quotePrefix="0" xfId="4">
      <alignment horizontal="left" vertical="center"/>
    </xf>
    <xf numFmtId="0" fontId="33" fillId="0" borderId="0" applyAlignment="1" pivotButton="0" quotePrefix="0" xfId="4">
      <alignment horizontal="center" vertical="center"/>
    </xf>
    <xf numFmtId="0" fontId="33" fillId="0" borderId="0" applyAlignment="1" pivotButton="0" quotePrefix="0" xfId="4">
      <alignment vertical="center"/>
    </xf>
    <xf numFmtId="0" fontId="33" fillId="0" borderId="39" applyAlignment="1" pivotButton="0" quotePrefix="0" xfId="4">
      <alignment vertical="center"/>
    </xf>
    <xf numFmtId="0" fontId="33" fillId="0" borderId="11" applyAlignment="1" pivotButton="0" quotePrefix="0" xfId="4">
      <alignment horizontal="left" vertical="center"/>
    </xf>
    <xf numFmtId="0" fontId="33" fillId="0" borderId="12" applyAlignment="1" pivotButton="0" quotePrefix="0" xfId="4">
      <alignment horizontal="center" vertical="center"/>
    </xf>
    <xf numFmtId="0" fontId="33" fillId="0" borderId="12" applyAlignment="1" pivotButton="0" quotePrefix="0" xfId="4">
      <alignment vertical="center"/>
    </xf>
    <xf numFmtId="0" fontId="25" fillId="0" borderId="13" applyAlignment="1" pivotButton="0" quotePrefix="0" xfId="4">
      <alignment vertical="center"/>
    </xf>
    <xf numFmtId="0" fontId="1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vertical="center" shrinkToFit="1"/>
    </xf>
    <xf numFmtId="0" fontId="12" fillId="0" borderId="0" applyAlignment="1" pivotButton="0" quotePrefix="0" xfId="4">
      <alignment horizontal="center" vertical="center" shrinkToFit="1"/>
    </xf>
    <xf numFmtId="0" fontId="12" fillId="0" borderId="6" applyAlignment="1" pivotButton="0" quotePrefix="0" xfId="4">
      <alignment vertical="center" shrinkToFit="1"/>
    </xf>
    <xf numFmtId="0" fontId="2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horizontal="right" vertical="center" shrinkToFit="1"/>
    </xf>
    <xf numFmtId="0" fontId="12" fillId="0" borderId="23" applyAlignment="1" pivotButton="0" quotePrefix="0" xfId="4">
      <alignment vertical="center" shrinkToFit="1"/>
    </xf>
    <xf numFmtId="0" fontId="12" fillId="0" borderId="31" applyAlignment="1" pivotButton="0" quotePrefix="0" xfId="4">
      <alignment vertical="center" shrinkToFit="1"/>
    </xf>
    <xf numFmtId="0" fontId="12" fillId="0" borderId="0" applyAlignment="1" pivotButton="0" quotePrefix="0" xfId="4">
      <alignment vertical="center" shrinkToFit="1"/>
    </xf>
    <xf numFmtId="0" fontId="28" fillId="0" borderId="6" applyAlignment="1" pivotButton="0" quotePrefix="0" xfId="4">
      <alignment vertical="center"/>
    </xf>
    <xf numFmtId="0" fontId="13" fillId="3" borderId="6" applyAlignment="1" pivotButton="0" quotePrefix="0" xfId="4">
      <alignment horizontal="center" vertical="center" shrinkToFit="1"/>
    </xf>
    <xf numFmtId="0" fontId="15" fillId="3" borderId="6" applyAlignment="1" pivotButton="0" quotePrefix="0" xfId="4">
      <alignment vertical="center" shrinkToFit="1"/>
    </xf>
    <xf numFmtId="0" fontId="6" fillId="0" borderId="6" applyAlignment="1" pivotButton="0" quotePrefix="0" xfId="4">
      <alignment vertical="center"/>
    </xf>
    <xf numFmtId="0" fontId="15" fillId="0" borderId="6" applyAlignment="1" pivotButton="0" quotePrefix="0" xfId="4">
      <alignment vertical="center" shrinkToFit="1"/>
    </xf>
    <xf numFmtId="0" fontId="26" fillId="0" borderId="6" applyAlignment="1" pivotButton="0" quotePrefix="0" xfId="4">
      <alignment vertical="center" shrinkToFit="1"/>
    </xf>
    <xf numFmtId="0" fontId="27" fillId="0" borderId="6" applyAlignment="1" pivotButton="0" quotePrefix="0" xfId="4">
      <alignment vertical="center" shrinkToFit="1"/>
    </xf>
    <xf numFmtId="0" fontId="27" fillId="0" borderId="0" applyAlignment="1" pivotButton="0" quotePrefix="0" xfId="4">
      <alignment vertical="center" shrinkToFit="1"/>
    </xf>
    <xf numFmtId="0" fontId="27" fillId="0" borderId="0" applyAlignment="1" pivotButton="0" quotePrefix="0" xfId="4">
      <alignment horizontal="center" vertical="center" shrinkToFit="1"/>
    </xf>
    <xf numFmtId="165" fontId="6" fillId="0" borderId="0" applyAlignment="1" pivotButton="0" quotePrefix="0" xfId="4">
      <alignment vertical="center" shrinkToFit="1"/>
    </xf>
    <xf numFmtId="0" fontId="6" fillId="0" borderId="0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/>
    </xf>
    <xf numFmtId="0" fontId="28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center" vertical="center" shrinkToFit="1"/>
    </xf>
    <xf numFmtId="0" fontId="6" fillId="0" borderId="6" applyAlignment="1" pivotButton="0" quotePrefix="0" xfId="4">
      <alignment horizontal="center" vertical="center"/>
    </xf>
    <xf numFmtId="0" fontId="28" fillId="0" borderId="12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 shrinkToFit="1"/>
    </xf>
    <xf numFmtId="0" fontId="28" fillId="0" borderId="6" applyAlignment="1" pivotButton="0" quotePrefix="0" xfId="4">
      <alignment horizontal="center" vertical="center" shrinkToFit="1"/>
    </xf>
    <xf numFmtId="0" fontId="30" fillId="0" borderId="0" applyAlignment="1" pivotButton="0" quotePrefix="0" xfId="4">
      <alignment vertical="center" shrinkToFit="1"/>
    </xf>
    <xf numFmtId="0" fontId="30" fillId="0" borderId="0" applyAlignment="1" pivotButton="0" quotePrefix="0" xfId="4">
      <alignment horizontal="center" vertical="center" shrinkToFit="1"/>
    </xf>
    <xf numFmtId="0" fontId="28" fillId="0" borderId="0" applyAlignment="1" pivotButton="0" quotePrefix="0" xfId="4">
      <alignment horizontal="center" vertical="center" shrinkToFit="1"/>
    </xf>
    <xf numFmtId="0" fontId="20" fillId="0" borderId="0" applyAlignment="1" pivotButton="0" quotePrefix="0" xfId="4">
      <alignment vertical="center"/>
    </xf>
    <xf numFmtId="0" fontId="15" fillId="8" borderId="101" applyAlignment="1" pivotButton="0" quotePrefix="0" xfId="4">
      <alignment horizontal="center" vertical="center" shrinkToFit="1"/>
    </xf>
    <xf numFmtId="0" fontId="15" fillId="8" borderId="87" applyAlignment="1" pivotButton="0" quotePrefix="0" xfId="4">
      <alignment horizontal="center" vertical="center" shrinkToFit="1"/>
    </xf>
    <xf numFmtId="0" fontId="15" fillId="8" borderId="88" applyAlignment="1" pivotButton="0" quotePrefix="0" xfId="4">
      <alignment horizontal="center" vertical="center" shrinkToFit="1"/>
    </xf>
    <xf numFmtId="0" fontId="15" fillId="8" borderId="89" applyAlignment="1" pivotButton="0" quotePrefix="0" xfId="4">
      <alignment horizontal="center" vertical="center" shrinkToFit="1"/>
    </xf>
    <xf numFmtId="0" fontId="15" fillId="8" borderId="102" applyAlignment="1" pivotButton="0" quotePrefix="0" xfId="4">
      <alignment horizontal="center" vertical="center" shrinkToFit="1"/>
    </xf>
    <xf numFmtId="0" fontId="12" fillId="0" borderId="59" applyAlignment="1" pivotButton="0" quotePrefix="0" xfId="4">
      <alignment horizontal="center" vertical="center" shrinkToFit="1"/>
    </xf>
    <xf numFmtId="0" fontId="15" fillId="0" borderId="60" applyAlignment="1" pivotButton="0" quotePrefix="0" xfId="4">
      <alignment horizontal="center" vertical="center" shrinkToFit="1"/>
    </xf>
    <xf numFmtId="0" fontId="15" fillId="0" borderId="61" applyAlignment="1" pivotButton="0" quotePrefix="0" xfId="4">
      <alignment horizontal="center" vertical="center" shrinkToFit="1"/>
    </xf>
    <xf numFmtId="0" fontId="15" fillId="0" borderId="62" applyAlignment="1" pivotButton="0" quotePrefix="0" xfId="4">
      <alignment horizontal="center" vertical="center" shrinkToFit="1"/>
    </xf>
    <xf numFmtId="0" fontId="15" fillId="0" borderId="63" applyAlignment="1" pivotButton="0" quotePrefix="0" xfId="4">
      <alignment horizontal="center" vertical="center" shrinkToFit="1"/>
    </xf>
    <xf numFmtId="0" fontId="47" fillId="0" borderId="0" applyAlignment="1" pivotButton="0" quotePrefix="0" xfId="4">
      <alignment horizontal="right" vertical="center" shrinkToFit="1"/>
    </xf>
    <xf numFmtId="0" fontId="15" fillId="0" borderId="76" applyAlignment="1" pivotButton="0" quotePrefix="0" xfId="4">
      <alignment horizontal="center" vertical="center" shrinkToFit="1"/>
    </xf>
    <xf numFmtId="0" fontId="15" fillId="0" borderId="77" applyAlignment="1" pivotButton="0" quotePrefix="0" xfId="4">
      <alignment horizontal="center" vertical="center" shrinkToFit="1"/>
    </xf>
    <xf numFmtId="0" fontId="15" fillId="0" borderId="13" applyAlignment="1" pivotButton="0" quotePrefix="0" xfId="4">
      <alignment horizontal="center" vertical="center" shrinkToFit="1"/>
    </xf>
    <xf numFmtId="0" fontId="15" fillId="0" borderId="16" applyAlignment="1" pivotButton="0" quotePrefix="0" xfId="4">
      <alignment horizontal="center" vertical="center" shrinkToFit="1"/>
    </xf>
    <xf numFmtId="0" fontId="12" fillId="0" borderId="72" applyAlignment="1" pivotButton="0" quotePrefix="0" xfId="4">
      <alignment horizontal="center" vertical="center" shrinkToFit="1"/>
    </xf>
    <xf numFmtId="0" fontId="15" fillId="0" borderId="73" applyAlignment="1" pivotButton="0" quotePrefix="0" xfId="4">
      <alignment horizontal="center" vertical="center" shrinkToFit="1"/>
    </xf>
    <xf numFmtId="0" fontId="15" fillId="0" borderId="74" applyAlignment="1" pivotButton="0" quotePrefix="0" xfId="4">
      <alignment horizontal="center" vertical="center" shrinkToFit="1"/>
    </xf>
    <xf numFmtId="0" fontId="15" fillId="0" borderId="69" applyAlignment="1" pivotButton="0" quotePrefix="0" xfId="4">
      <alignment horizontal="center" vertical="center" shrinkToFit="1"/>
    </xf>
    <xf numFmtId="0" fontId="15" fillId="0" borderId="68" applyAlignment="1" pivotButton="0" quotePrefix="0" xfId="4">
      <alignment horizontal="center" vertical="center" shrinkToFit="1"/>
    </xf>
    <xf numFmtId="0" fontId="15" fillId="0" borderId="59" applyAlignment="1" pivotButton="0" quotePrefix="0" xfId="4">
      <alignment horizontal="center" vertical="center" shrinkToFit="1"/>
    </xf>
    <xf numFmtId="0" fontId="22" fillId="0" borderId="40" applyAlignment="1" pivotButton="0" quotePrefix="0" xfId="4">
      <alignment horizontal="center" vertical="center" shrinkToFit="1"/>
    </xf>
    <xf numFmtId="0" fontId="15" fillId="0" borderId="48" applyAlignment="1" pivotButton="0" quotePrefix="0" xfId="4">
      <alignment horizontal="center" vertical="center" shrinkToFit="1"/>
    </xf>
    <xf numFmtId="0" fontId="15" fillId="0" borderId="49" applyAlignment="1" pivotButton="0" quotePrefix="0" xfId="4">
      <alignment horizontal="center" vertical="center" shrinkToFit="1"/>
    </xf>
    <xf numFmtId="0" fontId="12" fillId="0" borderId="41" applyAlignment="1" pivotButton="0" quotePrefix="0" xfId="4">
      <alignment horizontal="center" vertical="center" shrinkToFit="1"/>
    </xf>
    <xf numFmtId="0" fontId="12" fillId="2" borderId="41" applyAlignment="1" pivotButton="0" quotePrefix="0" xfId="4">
      <alignment horizontal="center" vertical="center" shrinkToFit="1"/>
    </xf>
    <xf numFmtId="0" fontId="15" fillId="0" borderId="41" applyAlignment="1" pivotButton="0" quotePrefix="0" xfId="4">
      <alignment horizontal="center" vertical="center" shrinkToFit="1"/>
    </xf>
    <xf numFmtId="0" fontId="15" fillId="0" borderId="42" applyAlignment="1" pivotButton="0" quotePrefix="0" xfId="4">
      <alignment horizontal="center" vertical="center" shrinkToFit="1"/>
    </xf>
    <xf numFmtId="0" fontId="15" fillId="0" borderId="40" applyAlignment="1" pivotButton="0" quotePrefix="0" xfId="4">
      <alignment horizontal="center" vertical="center" shrinkToFit="1"/>
    </xf>
    <xf numFmtId="0" fontId="12" fillId="0" borderId="75" applyAlignment="1" pivotButton="0" quotePrefix="0" xfId="4">
      <alignment horizontal="center" vertical="center" shrinkToFit="1"/>
    </xf>
    <xf numFmtId="0" fontId="12" fillId="2" borderId="42" applyAlignment="1" pivotButton="0" quotePrefix="0" xfId="4">
      <alignment horizontal="center" vertical="center" shrinkToFit="1"/>
    </xf>
    <xf numFmtId="0" fontId="22" fillId="0" borderId="76" applyAlignment="1" pivotButton="0" quotePrefix="0" xfId="4">
      <alignment horizontal="center" vertical="center" shrinkToFit="1"/>
    </xf>
    <xf numFmtId="0" fontId="12" fillId="2" borderId="3" applyAlignment="1" pivotButton="0" quotePrefix="0" xfId="4">
      <alignment horizontal="center" vertical="center" shrinkToFit="1"/>
    </xf>
    <xf numFmtId="0" fontId="15" fillId="0" borderId="90" applyAlignment="1" pivotButton="0" quotePrefix="0" xfId="4">
      <alignment horizontal="center" vertical="center" shrinkToFit="1"/>
    </xf>
    <xf numFmtId="0" fontId="15" fillId="0" borderId="91" applyAlignment="1" pivotButton="0" quotePrefix="0" xfId="4">
      <alignment horizontal="center" vertical="center" shrinkToFit="1"/>
    </xf>
    <xf numFmtId="0" fontId="12" fillId="2" borderId="13" applyAlignment="1" pivotButton="0" quotePrefix="0" xfId="4">
      <alignment horizontal="center" vertical="center" shrinkToFit="1"/>
    </xf>
    <xf numFmtId="0" fontId="12" fillId="6" borderId="93" applyAlignment="1" pivotButton="0" quotePrefix="0" xfId="4">
      <alignment horizontal="center" vertical="center" shrinkToFit="1"/>
    </xf>
    <xf numFmtId="0" fontId="12" fillId="0" borderId="93" applyAlignment="1" pivotButton="0" quotePrefix="0" xfId="4">
      <alignment horizontal="center" vertical="center" shrinkToFit="1"/>
    </xf>
    <xf numFmtId="0" fontId="12" fillId="0" borderId="94" applyAlignment="1" pivotButton="0" quotePrefix="0" xfId="4">
      <alignment horizontal="center" vertical="center" shrinkToFit="1"/>
    </xf>
    <xf numFmtId="0" fontId="22" fillId="0" borderId="90" applyAlignment="1" pivotButton="0" quotePrefix="0" xfId="4">
      <alignment horizontal="center" vertical="center" shrinkToFit="1"/>
    </xf>
    <xf numFmtId="0" fontId="12" fillId="0" borderId="92" applyAlignment="1" pivotButton="0" quotePrefix="0" xfId="4">
      <alignment horizontal="center" vertical="center" shrinkToFit="1"/>
    </xf>
    <xf numFmtId="0" fontId="12" fillId="4" borderId="93" applyAlignment="1" pivotButton="0" quotePrefix="0" xfId="4">
      <alignment horizontal="center" vertical="center" shrinkToFit="1"/>
    </xf>
    <xf numFmtId="0" fontId="15" fillId="0" borderId="94" applyAlignment="1" pivotButton="0" quotePrefix="0" xfId="4">
      <alignment horizontal="center" vertical="center" shrinkToFit="1"/>
    </xf>
    <xf numFmtId="0" fontId="12" fillId="8" borderId="89" applyAlignment="1" pivotButton="0" quotePrefix="0" xfId="4">
      <alignment horizontal="center" vertical="center" shrinkToFit="1"/>
    </xf>
    <xf numFmtId="0" fontId="15" fillId="8" borderId="103" applyAlignment="1" pivotButton="0" quotePrefix="0" xfId="4">
      <alignment horizontal="center" vertical="center" shrinkToFit="1"/>
    </xf>
    <xf numFmtId="0" fontId="12" fillId="0" borderId="77" applyAlignment="1" pivotButton="0" quotePrefix="0" xfId="4">
      <alignment horizontal="center" vertical="center" shrinkToFit="1"/>
    </xf>
    <xf numFmtId="0" fontId="12" fillId="0" borderId="61" applyAlignment="1" pivotButton="0" quotePrefix="0" xfId="4">
      <alignment horizontal="center" vertical="center" shrinkToFit="1"/>
    </xf>
    <xf numFmtId="0" fontId="12" fillId="2" borderId="62" applyAlignment="1" pivotButton="0" quotePrefix="0" xfId="4">
      <alignment horizontal="center" vertical="center" shrinkToFit="1"/>
    </xf>
    <xf numFmtId="0" fontId="12" fillId="0" borderId="62" applyAlignment="1" pivotButton="0" quotePrefix="0" xfId="4">
      <alignment horizontal="center" vertical="center" shrinkToFit="1"/>
    </xf>
    <xf numFmtId="0" fontId="15" fillId="9" borderId="63" applyAlignment="1" pivotButton="0" quotePrefix="0" xfId="4">
      <alignment horizontal="center" vertical="center" shrinkToFit="1"/>
    </xf>
    <xf numFmtId="0" fontId="12" fillId="0" borderId="58" applyAlignment="1" pivotButton="0" quotePrefix="0" xfId="4">
      <alignment horizontal="center" vertical="center" shrinkToFit="1"/>
    </xf>
    <xf numFmtId="0" fontId="15" fillId="0" borderId="71" applyAlignment="1" pivotButton="0" quotePrefix="0" xfId="4">
      <alignment horizontal="center" vertical="center" shrinkToFit="1"/>
    </xf>
    <xf numFmtId="0" fontId="15" fillId="0" borderId="78" applyAlignment="1" pivotButton="0" quotePrefix="0" xfId="4">
      <alignment horizontal="center" vertical="center" shrinkToFit="1"/>
    </xf>
    <xf numFmtId="0" fontId="15" fillId="9" borderId="16" applyAlignment="1" pivotButton="0" quotePrefix="0" xfId="4">
      <alignment horizontal="center" vertical="center" shrinkToFit="1"/>
    </xf>
    <xf numFmtId="0" fontId="15" fillId="0" borderId="54" applyAlignment="1" pivotButton="0" quotePrefix="0" xfId="4">
      <alignment horizontal="center" vertical="center" shrinkToFit="1"/>
    </xf>
    <xf numFmtId="0" fontId="12" fillId="0" borderId="55" applyAlignment="1" pivotButton="0" quotePrefix="0" xfId="4">
      <alignment horizontal="center" vertical="center" shrinkToFit="1"/>
    </xf>
    <xf numFmtId="0" fontId="12" fillId="0" borderId="38" applyAlignment="1" pivotButton="0" quotePrefix="0" xfId="4">
      <alignment horizontal="center" vertical="center" shrinkToFit="1"/>
    </xf>
    <xf numFmtId="0" fontId="12" fillId="0" borderId="36" applyAlignment="1" pivotButton="0" quotePrefix="0" xfId="4">
      <alignment horizontal="center" vertical="center" shrinkToFit="1"/>
    </xf>
    <xf numFmtId="0" fontId="12" fillId="2" borderId="36" applyAlignment="1" pivotButton="0" quotePrefix="0" xfId="4">
      <alignment horizontal="center" vertical="center" shrinkToFit="1"/>
    </xf>
    <xf numFmtId="0" fontId="15" fillId="0" borderId="66" applyAlignment="1" pivotButton="0" quotePrefix="0" xfId="4">
      <alignment horizontal="center" vertical="center" shrinkToFit="1"/>
    </xf>
    <xf numFmtId="0" fontId="12" fillId="0" borderId="43" applyAlignment="1" pivotButton="0" quotePrefix="0" xfId="4">
      <alignment horizontal="center" vertical="center" shrinkToFit="1"/>
    </xf>
    <xf numFmtId="0" fontId="15" fillId="0" borderId="44" applyAlignment="1" pivotButton="0" quotePrefix="0" xfId="4">
      <alignment horizontal="center" vertical="center" shrinkToFit="1"/>
    </xf>
    <xf numFmtId="0" fontId="15" fillId="0" borderId="45" applyAlignment="1" pivotButton="0" quotePrefix="0" xfId="4">
      <alignment horizontal="center" vertical="center" shrinkToFit="1"/>
    </xf>
    <xf numFmtId="0" fontId="15" fillId="0" borderId="53" applyAlignment="1" pivotButton="0" quotePrefix="0" xfId="4">
      <alignment horizontal="center" vertical="center" shrinkToFit="1"/>
    </xf>
    <xf numFmtId="0" fontId="15" fillId="9" borderId="47" applyAlignment="1" pivotButton="0" quotePrefix="0" xfId="4">
      <alignment horizontal="center" vertical="center" shrinkToFit="1"/>
    </xf>
    <xf numFmtId="0" fontId="47" fillId="0" borderId="33" applyAlignment="1" pivotButton="0" quotePrefix="0" xfId="4">
      <alignment horizontal="right" vertical="center" shrinkToFit="1"/>
    </xf>
    <xf numFmtId="0" fontId="15" fillId="0" borderId="43" applyAlignment="1" pivotButton="0" quotePrefix="0" xfId="4">
      <alignment horizontal="center" vertical="center" shrinkToFit="1"/>
    </xf>
    <xf numFmtId="0" fontId="12" fillId="2" borderId="44" applyAlignment="1" pivotButton="0" quotePrefix="0" xfId="4">
      <alignment horizontal="center" vertical="center" shrinkToFit="1"/>
    </xf>
    <xf numFmtId="0" fontId="12" fillId="2" borderId="70" applyAlignment="1" pivotButton="0" quotePrefix="0" xfId="4">
      <alignment horizontal="center" vertical="center" shrinkToFit="1"/>
    </xf>
    <xf numFmtId="0" fontId="12" fillId="2" borderId="46" applyAlignment="1" pivotButton="0" quotePrefix="0" xfId="4">
      <alignment horizontal="center" vertical="center" shrinkToFit="1"/>
    </xf>
    <xf numFmtId="0" fontId="12" fillId="2" borderId="46" applyAlignment="1" pivotButton="0" quotePrefix="1" xfId="4">
      <alignment horizontal="center" vertical="center" shrinkToFit="1"/>
    </xf>
    <xf numFmtId="0" fontId="12" fillId="2" borderId="74" applyAlignment="1" pivotButton="0" quotePrefix="0" xfId="4">
      <alignment horizontal="center" vertical="center" shrinkToFit="1"/>
    </xf>
    <xf numFmtId="0" fontId="12" fillId="0" borderId="69" applyAlignment="1" pivotButton="0" quotePrefix="0" xfId="4">
      <alignment horizontal="center" vertical="center" shrinkToFit="1"/>
    </xf>
    <xf numFmtId="0" fontId="15" fillId="9" borderId="68" applyAlignment="1" pivotButton="0" quotePrefix="0" xfId="4">
      <alignment horizontal="center" vertical="center" shrinkToFit="1"/>
    </xf>
    <xf numFmtId="0" fontId="15" fillId="0" borderId="18" applyAlignment="1" pivotButton="0" quotePrefix="0" xfId="4">
      <alignment vertical="center" shrinkToFit="1"/>
    </xf>
    <xf numFmtId="0" fontId="35" fillId="0" borderId="0" applyAlignment="1" pivotButton="0" quotePrefix="0" xfId="4">
      <alignment horizontal="left" vertical="top" shrinkToFit="1"/>
    </xf>
    <xf numFmtId="0" fontId="15" fillId="0" borderId="0" applyAlignment="1" pivotButton="0" quotePrefix="1" xfId="4">
      <alignment horizontal="center" vertical="center" shrinkToFit="1"/>
    </xf>
    <xf numFmtId="0" fontId="12" fillId="0" borderId="13" applyAlignment="1" pivotButton="0" quotePrefix="0" xfId="4">
      <alignment horizontal="center" vertical="center" shrinkToFit="1"/>
    </xf>
    <xf numFmtId="0" fontId="12" fillId="0" borderId="17" applyAlignment="1" pivotButton="0" quotePrefix="0" xfId="4">
      <alignment horizontal="center" vertical="center" shrinkToFit="1"/>
    </xf>
    <xf numFmtId="0" fontId="38" fillId="0" borderId="0" applyAlignment="1" pivotButton="0" quotePrefix="0" xfId="4">
      <alignment vertical="center" shrinkToFit="1"/>
    </xf>
    <xf numFmtId="0" fontId="15" fillId="0" borderId="50" applyAlignment="1" pivotButton="0" quotePrefix="0" xfId="4">
      <alignment horizontal="center" vertical="center" shrinkToFit="1"/>
    </xf>
    <xf numFmtId="0" fontId="15" fillId="0" borderId="51" applyAlignment="1" pivotButton="0" quotePrefix="0" xfId="4">
      <alignment horizontal="center" vertical="center" shrinkToFit="1"/>
    </xf>
    <xf numFmtId="0" fontId="12" fillId="0" borderId="52" applyAlignment="1" pivotButton="0" quotePrefix="0" xfId="4">
      <alignment horizontal="center" vertical="center" shrinkToFit="1"/>
    </xf>
    <xf numFmtId="0" fontId="12" fillId="2" borderId="6" applyAlignment="1" pivotButton="0" quotePrefix="0" xfId="4">
      <alignment horizontal="center" vertical="center" shrinkToFit="1"/>
    </xf>
    <xf numFmtId="0" fontId="15" fillId="9" borderId="85" applyAlignment="1" pivotButton="0" quotePrefix="0" xfId="4">
      <alignment horizontal="center" vertical="center" shrinkToFit="1"/>
    </xf>
    <xf numFmtId="0" fontId="12" fillId="0" borderId="98" applyAlignment="1" pivotButton="0" quotePrefix="0" xfId="4">
      <alignment horizontal="center" vertical="center" shrinkToFit="1"/>
    </xf>
    <xf numFmtId="0" fontId="12" fillId="0" borderId="93" applyAlignment="1" pivotButton="0" quotePrefix="1" xfId="4">
      <alignment horizontal="center" vertical="center" shrinkToFit="1"/>
    </xf>
    <xf numFmtId="0" fontId="15" fillId="9" borderId="94" applyAlignment="1" pivotButton="0" quotePrefix="0" xfId="4">
      <alignment horizontal="center" vertical="center" shrinkToFit="1"/>
    </xf>
    <xf numFmtId="0" fontId="12" fillId="0" borderId="0" applyAlignment="1" pivotButton="0" quotePrefix="0" xfId="4">
      <alignment vertical="center" wrapText="1" shrinkToFit="1"/>
    </xf>
    <xf numFmtId="0" fontId="12" fillId="8" borderId="104" applyAlignment="1" pivotButton="0" quotePrefix="0" xfId="4">
      <alignment horizontal="center" vertical="center" shrinkToFit="1"/>
    </xf>
    <xf numFmtId="0" fontId="12" fillId="2" borderId="106" applyAlignment="1" pivotButton="0" quotePrefix="0" xfId="4">
      <alignment horizontal="center" vertical="center" shrinkToFit="1"/>
    </xf>
    <xf numFmtId="0" fontId="12" fillId="2" borderId="81" applyAlignment="1" pivotButton="0" quotePrefix="0" xfId="4">
      <alignment horizontal="center" vertical="center" shrinkToFit="1"/>
    </xf>
    <xf numFmtId="0" fontId="15" fillId="9" borderId="86" applyAlignment="1" pivotButton="0" quotePrefix="0" xfId="4">
      <alignment horizontal="center" vertical="center" shrinkToFit="1"/>
    </xf>
    <xf numFmtId="0" fontId="15" fillId="8" borderId="96" applyAlignment="1" pivotButton="0" quotePrefix="0" xfId="4">
      <alignment horizontal="center" vertical="center" shrinkToFit="1"/>
    </xf>
    <xf numFmtId="0" fontId="15" fillId="8" borderId="97" applyAlignment="1" pivotButton="0" quotePrefix="0" xfId="4">
      <alignment horizontal="center" vertical="center" shrinkToFit="1"/>
    </xf>
    <xf numFmtId="0" fontId="15" fillId="8" borderId="98" applyAlignment="1" pivotButton="0" quotePrefix="0" xfId="4">
      <alignment horizontal="center" vertical="center" shrinkToFit="1"/>
    </xf>
    <xf numFmtId="0" fontId="15" fillId="8" borderId="99" applyAlignment="1" pivotButton="0" quotePrefix="0" xfId="4">
      <alignment horizontal="center" vertical="center" shrinkToFit="1"/>
    </xf>
    <xf numFmtId="0" fontId="15" fillId="8" borderId="100" applyAlignment="1" pivotButton="0" quotePrefix="0" xfId="4">
      <alignment horizontal="center" vertical="center" shrinkToFit="1"/>
    </xf>
    <xf numFmtId="0" fontId="12" fillId="0" borderId="76" applyAlignment="1" pivotButton="0" quotePrefix="0" xfId="4">
      <alignment horizontal="center" vertical="center" shrinkToFit="1"/>
    </xf>
    <xf numFmtId="0" fontId="15" fillId="4" borderId="13" applyAlignment="1" pivotButton="0" quotePrefix="0" xfId="4">
      <alignment horizontal="center" vertical="center" shrinkToFit="1"/>
    </xf>
    <xf numFmtId="0" fontId="15" fillId="0" borderId="46" applyAlignment="1" pivotButton="0" quotePrefix="0" xfId="4">
      <alignment horizontal="center" vertical="center" shrinkToFit="1"/>
    </xf>
    <xf numFmtId="0" fontId="15" fillId="0" borderId="47" applyAlignment="1" pivotButton="0" quotePrefix="0" xfId="4">
      <alignment horizontal="center" vertical="center" shrinkToFit="1"/>
    </xf>
    <xf numFmtId="0" fontId="13" fillId="4" borderId="46" applyAlignment="1" pivotButton="0" quotePrefix="0" xfId="4">
      <alignment horizontal="center" vertical="center" shrinkToFit="1"/>
    </xf>
    <xf numFmtId="0" fontId="12" fillId="4" borderId="41" applyAlignment="1" pivotButton="0" quotePrefix="0" xfId="4">
      <alignment horizontal="center" vertical="center" shrinkToFit="1"/>
    </xf>
    <xf numFmtId="0" fontId="12" fillId="0" borderId="42" applyAlignment="1" pivotButton="0" quotePrefix="0" xfId="4">
      <alignment horizontal="center" vertical="center" shrinkToFit="1"/>
    </xf>
    <xf numFmtId="0" fontId="12" fillId="0" borderId="45" applyAlignment="1" pivotButton="0" quotePrefix="0" xfId="4">
      <alignment horizontal="center" vertical="center" shrinkToFit="1"/>
    </xf>
    <xf numFmtId="0" fontId="12" fillId="0" borderId="46" applyAlignment="1" pivotButton="0" quotePrefix="0" xfId="4">
      <alignment horizontal="center" vertical="center" shrinkToFit="1"/>
    </xf>
    <xf numFmtId="0" fontId="13" fillId="2" borderId="46" applyAlignment="1" pivotButton="0" quotePrefix="0" xfId="4">
      <alignment horizontal="center" vertical="center" shrinkToFit="1"/>
    </xf>
    <xf numFmtId="0" fontId="12" fillId="4" borderId="46" applyAlignment="1" pivotButton="0" quotePrefix="0" xfId="4">
      <alignment horizontal="center" vertical="center" shrinkToFit="1"/>
    </xf>
    <xf numFmtId="0" fontId="12" fillId="4" borderId="47" applyAlignment="1" pivotButton="0" quotePrefix="0" xfId="4">
      <alignment horizontal="center" vertical="center" shrinkToFit="1"/>
    </xf>
    <xf numFmtId="0" fontId="12" fillId="0" borderId="40" applyAlignment="1" pivotButton="0" quotePrefix="0" xfId="4">
      <alignment horizontal="center" vertical="center" shrinkToFit="1"/>
    </xf>
    <xf numFmtId="0" fontId="15" fillId="3" borderId="48" applyAlignment="1" pivotButton="0" quotePrefix="0" xfId="4">
      <alignment horizontal="center" vertical="center" shrinkToFit="1"/>
    </xf>
    <xf numFmtId="0" fontId="15" fillId="0" borderId="75" applyAlignment="1" pivotButton="0" quotePrefix="0" xfId="4">
      <alignment horizontal="center" vertical="center" shrinkToFit="1"/>
    </xf>
    <xf numFmtId="0" fontId="13" fillId="2" borderId="41" applyAlignment="1" pivotButton="0" quotePrefix="0" xfId="4">
      <alignment horizontal="center" vertical="center" shrinkToFit="1"/>
    </xf>
    <xf numFmtId="0" fontId="12" fillId="0" borderId="90" applyAlignment="1" pivotButton="0" quotePrefix="0" xfId="4">
      <alignment horizontal="center" vertical="center" shrinkToFit="1"/>
    </xf>
    <xf numFmtId="0" fontId="15" fillId="3" borderId="91" applyAlignment="1" pivotButton="0" quotePrefix="0" xfId="4">
      <alignment horizontal="center" vertical="center" shrinkToFit="1"/>
    </xf>
    <xf numFmtId="0" fontId="12" fillId="2" borderId="92" applyAlignment="1" pivotButton="0" quotePrefix="0" xfId="4">
      <alignment horizontal="center" vertical="center" shrinkToFit="1"/>
    </xf>
    <xf numFmtId="0" fontId="15" fillId="0" borderId="93" applyAlignment="1" pivotButton="0" quotePrefix="0" xfId="4">
      <alignment horizontal="center" vertical="center" shrinkToFit="1"/>
    </xf>
    <xf numFmtId="0" fontId="12" fillId="2" borderId="91" applyAlignment="1" pivotButton="0" quotePrefix="0" xfId="4">
      <alignment horizontal="center" vertical="center" shrinkToFit="1"/>
    </xf>
    <xf numFmtId="0" fontId="13" fillId="2" borderId="93" applyAlignment="1" pivotButton="0" quotePrefix="0" xfId="4">
      <alignment horizontal="center" vertical="center" shrinkToFit="1"/>
    </xf>
    <xf numFmtId="0" fontId="12" fillId="8" borderId="99" applyAlignment="1" pivotButton="0" quotePrefix="0" xfId="4">
      <alignment horizontal="center" vertical="center" shrinkToFit="1"/>
    </xf>
    <xf numFmtId="0" fontId="15" fillId="3" borderId="60" applyAlignment="1" pivotButton="0" quotePrefix="0" xfId="4">
      <alignment horizontal="center" vertical="center" shrinkToFit="1"/>
    </xf>
    <xf numFmtId="0" fontId="15" fillId="0" borderId="84" applyAlignment="1" pivotButton="0" quotePrefix="0" xfId="4">
      <alignment horizontal="center" vertical="center" shrinkToFit="1"/>
    </xf>
    <xf numFmtId="0" fontId="15" fillId="9" borderId="110" applyAlignment="1" pivotButton="0" quotePrefix="0" xfId="4">
      <alignment horizontal="center" vertical="center" shrinkToFit="1"/>
    </xf>
    <xf numFmtId="0" fontId="12" fillId="0" borderId="95" applyAlignment="1" pivotButton="0" quotePrefix="0" xfId="4">
      <alignment horizontal="center" vertical="center" shrinkToFit="1"/>
    </xf>
    <xf numFmtId="0" fontId="15" fillId="3" borderId="73" applyAlignment="1" pivotButton="0" quotePrefix="0" xfId="4">
      <alignment horizontal="center" vertical="center" shrinkToFit="1"/>
    </xf>
    <xf numFmtId="0" fontId="12" fillId="2" borderId="69" applyAlignment="1" pivotButton="0" quotePrefix="0" xfId="4">
      <alignment horizontal="center" vertical="center" shrinkToFit="1"/>
    </xf>
    <xf numFmtId="0" fontId="15" fillId="0" borderId="72" applyAlignment="1" pivotButton="0" quotePrefix="0" xfId="4">
      <alignment horizontal="center" vertical="center" shrinkToFit="1"/>
    </xf>
    <xf numFmtId="0" fontId="12" fillId="2" borderId="73" applyAlignment="1" pivotButton="0" quotePrefix="0" xfId="4">
      <alignment horizontal="center" vertical="center" shrinkToFit="1"/>
    </xf>
    <xf numFmtId="0" fontId="12" fillId="0" borderId="74" applyAlignment="1" pivotButton="0" quotePrefix="0" xfId="4">
      <alignment horizontal="center" vertical="center" shrinkToFit="1"/>
    </xf>
    <xf numFmtId="0" fontId="13" fillId="2" borderId="69" applyAlignment="1" pivotButton="0" quotePrefix="0" xfId="4">
      <alignment horizontal="center" vertical="center" shrinkToFit="1"/>
    </xf>
    <xf numFmtId="0" fontId="48" fillId="0" borderId="0" applyAlignment="1" pivotButton="0" quotePrefix="0" xfId="4">
      <alignment horizontal="right" vertical="center" shrinkToFit="1"/>
    </xf>
    <xf numFmtId="0" fontId="13" fillId="2" borderId="62" applyAlignment="1" pivotButton="0" quotePrefix="0" xfId="4">
      <alignment horizontal="center" vertical="center" shrinkToFit="1"/>
    </xf>
    <xf numFmtId="0" fontId="12" fillId="0" borderId="63" applyAlignment="1" pivotButton="0" quotePrefix="0" xfId="4">
      <alignment horizontal="center" vertical="center" shrinkToFit="1"/>
    </xf>
    <xf numFmtId="0" fontId="12" fillId="0" borderId="64" applyAlignment="1" pivotButton="0" quotePrefix="0" xfId="4">
      <alignment horizontal="center" vertical="center" shrinkToFit="1"/>
    </xf>
    <xf numFmtId="0" fontId="15" fillId="3" borderId="65" applyAlignment="1" pivotButton="0" quotePrefix="0" xfId="4">
      <alignment horizontal="center" vertical="center" shrinkToFit="1"/>
    </xf>
    <xf numFmtId="0" fontId="12" fillId="0" borderId="56" applyAlignment="1" pivotButton="0" quotePrefix="0" xfId="4">
      <alignment horizontal="center" vertical="center" shrinkToFit="1"/>
    </xf>
    <xf numFmtId="0" fontId="15" fillId="0" borderId="57" applyAlignment="1" pivotButton="0" quotePrefix="0" xfId="4">
      <alignment horizontal="center" vertical="center" shrinkToFit="1"/>
    </xf>
    <xf numFmtId="0" fontId="12" fillId="2" borderId="57" applyAlignment="1" pivotButton="0" quotePrefix="0" xfId="4">
      <alignment horizontal="center" vertical="center" shrinkToFit="1"/>
    </xf>
    <xf numFmtId="0" fontId="15" fillId="2" borderId="57" applyAlignment="1" pivotButton="0" quotePrefix="0" xfId="4">
      <alignment horizontal="center" vertical="center" shrinkToFit="1"/>
    </xf>
    <xf numFmtId="0" fontId="15" fillId="2" borderId="66" applyAlignment="1" pivotButton="0" quotePrefix="0" xfId="4">
      <alignment horizontal="center" vertical="center" shrinkToFit="1"/>
    </xf>
    <xf numFmtId="0" fontId="49" fillId="0" borderId="0" applyAlignment="1" pivotButton="0" quotePrefix="0" xfId="4">
      <alignment horizontal="right" vertical="center" shrinkToFit="1"/>
    </xf>
    <xf numFmtId="0" fontId="15" fillId="0" borderId="58" applyAlignment="1" pivotButton="0" quotePrefix="0" xfId="4">
      <alignment horizontal="center" vertical="center" shrinkToFit="1"/>
    </xf>
    <xf numFmtId="0" fontId="12" fillId="2" borderId="71" applyAlignment="1" pivotButton="0" quotePrefix="0" xfId="4">
      <alignment horizontal="center" vertical="center" shrinkToFit="1"/>
    </xf>
    <xf numFmtId="0" fontId="12" fillId="2" borderId="38" applyAlignment="1" pivotButton="0" quotePrefix="0" xfId="4">
      <alignment horizontal="center" vertical="center" shrinkToFit="1"/>
    </xf>
    <xf numFmtId="0" fontId="12" fillId="2" borderId="2" applyAlignment="1" pivotButton="0" quotePrefix="0" xfId="4">
      <alignment horizontal="center" vertical="center" shrinkToFit="1"/>
    </xf>
    <xf numFmtId="0" fontId="12" fillId="4" borderId="2" applyAlignment="1" pivotButton="0" quotePrefix="0" xfId="4">
      <alignment horizontal="center" vertical="center" shrinkToFit="1"/>
    </xf>
    <xf numFmtId="0" fontId="13" fillId="2" borderId="2" applyAlignment="1" pivotButton="0" quotePrefix="0" xfId="4">
      <alignment horizontal="center" vertical="center" shrinkToFit="1"/>
    </xf>
    <xf numFmtId="0" fontId="15" fillId="8" borderId="104" applyAlignment="1" pivotButton="0" quotePrefix="0" xfId="4">
      <alignment horizontal="center" vertical="center" shrinkToFit="1"/>
    </xf>
    <xf numFmtId="0" fontId="15" fillId="2" borderId="104" applyAlignment="1" pivotButton="0" quotePrefix="0" xfId="4">
      <alignment horizontal="center" vertical="center" shrinkToFit="1"/>
    </xf>
    <xf numFmtId="0" fontId="15" fillId="8" borderId="106" applyAlignment="1" pivotButton="0" quotePrefix="1" xfId="4">
      <alignment horizontal="center" vertical="center" shrinkToFit="1"/>
    </xf>
    <xf numFmtId="0" fontId="15" fillId="2" borderId="105" applyAlignment="1" pivotButton="0" quotePrefix="1" xfId="4">
      <alignment horizontal="center" vertical="center" shrinkToFit="1"/>
    </xf>
    <xf numFmtId="0" fontId="15" fillId="0" borderId="64" applyAlignment="1" pivotButton="0" quotePrefix="0" xfId="4">
      <alignment horizontal="center" vertical="center" shrinkToFit="1"/>
    </xf>
    <xf numFmtId="0" fontId="12" fillId="0" borderId="65" applyAlignment="1" pivotButton="0" quotePrefix="0" xfId="4">
      <alignment horizontal="center" vertical="center" shrinkToFit="1"/>
    </xf>
    <xf numFmtId="0" fontId="12" fillId="0" borderId="57" applyAlignment="1" pivotButton="0" quotePrefix="0" xfId="4">
      <alignment horizontal="center" vertical="center" shrinkToFit="1"/>
    </xf>
    <xf numFmtId="0" fontId="12" fillId="4" borderId="57" applyAlignment="1" pivotButton="0" quotePrefix="0" xfId="4">
      <alignment horizontal="center" vertical="center" shrinkToFit="1"/>
    </xf>
    <xf numFmtId="0" fontId="15" fillId="8" borderId="53" applyAlignment="1" pivotButton="0" quotePrefix="0" xfId="4">
      <alignment horizontal="center" vertical="center" shrinkToFit="1"/>
    </xf>
    <xf numFmtId="0" fontId="12" fillId="4" borderId="107" applyAlignment="1" pivotButton="0" quotePrefix="0" xfId="4">
      <alignment horizontal="center" vertical="center" shrinkToFit="1"/>
    </xf>
    <xf numFmtId="0" fontId="15" fillId="8" borderId="107" applyAlignment="1" pivotButton="0" quotePrefix="0" xfId="4">
      <alignment horizontal="center" vertical="center" shrinkToFit="1"/>
    </xf>
    <xf numFmtId="0" fontId="12" fillId="2" borderId="105" applyAlignment="1" pivotButton="0" quotePrefix="0" xfId="4">
      <alignment horizontal="center" vertical="center" shrinkToFit="1"/>
    </xf>
    <xf numFmtId="0" fontId="46" fillId="0" borderId="0" applyAlignment="1" pivotButton="0" quotePrefix="0" xfId="4">
      <alignment vertical="center"/>
    </xf>
    <xf numFmtId="0" fontId="45" fillId="0" borderId="0" applyAlignment="1" pivotButton="0" quotePrefix="0" xfId="4">
      <alignment vertical="center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2" fillId="0" borderId="51" applyAlignment="1" pivotButton="0" quotePrefix="0" xfId="4">
      <alignment horizontal="center" vertical="center" shrinkToFit="1"/>
    </xf>
    <xf numFmtId="0" fontId="12" fillId="0" borderId="5" applyAlignment="1" pivotButton="0" quotePrefix="0" xfId="4">
      <alignment horizontal="center" vertical="center" shrinkToFit="1"/>
    </xf>
    <xf numFmtId="0" fontId="12" fillId="0" borderId="9" applyAlignment="1" pivotButton="0" quotePrefix="0" xfId="4">
      <alignment horizontal="center" vertical="center" shrinkToFit="1"/>
    </xf>
    <xf numFmtId="0" fontId="22" fillId="0" borderId="51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center" vertical="center" shrinkToFit="1"/>
    </xf>
    <xf numFmtId="0" fontId="13" fillId="0" borderId="52" applyAlignment="1" pivotButton="0" quotePrefix="0" xfId="4">
      <alignment horizontal="center" vertical="center" shrinkToFit="1"/>
    </xf>
    <xf numFmtId="0" fontId="13" fillId="0" borderId="6" applyAlignment="1" pivotButton="0" quotePrefix="0" xfId="4">
      <alignment horizontal="center" vertical="center" shrinkToFit="1"/>
    </xf>
    <xf numFmtId="0" fontId="13" fillId="0" borderId="51" applyAlignment="1" pivotButton="0" quotePrefix="0" xfId="4">
      <alignment horizontal="center" vertical="center" shrinkToFit="1"/>
    </xf>
    <xf numFmtId="0" fontId="15" fillId="0" borderId="52" applyAlignment="1" pivotButton="0" quotePrefix="0" xfId="4">
      <alignment horizontal="center" vertical="center" shrinkToFit="1"/>
    </xf>
    <xf numFmtId="0" fontId="13" fillId="0" borderId="93" applyAlignment="1" pivotButton="0" quotePrefix="0" xfId="4">
      <alignment horizontal="center" vertical="center" shrinkToFit="1"/>
    </xf>
    <xf numFmtId="0" fontId="38" fillId="0" borderId="91" applyAlignment="1" pivotButton="0" quotePrefix="0" xfId="4">
      <alignment horizontal="center" vertical="center" shrinkToFit="1"/>
    </xf>
    <xf numFmtId="0" fontId="15" fillId="0" borderId="92" applyAlignment="1" pivotButton="0" quotePrefix="0" xfId="4">
      <alignment horizontal="center" vertical="center" shrinkToFit="1"/>
    </xf>
    <xf numFmtId="0" fontId="15" fillId="0" borderId="114" applyAlignment="1" pivotButton="0" quotePrefix="0" xfId="4">
      <alignment horizontal="center" vertical="center" shrinkToFit="1"/>
    </xf>
    <xf numFmtId="0" fontId="15" fillId="0" borderId="115" applyAlignment="1" pivotButton="0" quotePrefix="0" xfId="4">
      <alignment horizontal="center" vertical="center" shrinkToFit="1"/>
    </xf>
    <xf numFmtId="0" fontId="38" fillId="0" borderId="93" applyAlignment="1" pivotButton="0" quotePrefix="0" xfId="4">
      <alignment horizontal="center" vertical="center" shrinkToFit="1"/>
    </xf>
    <xf numFmtId="0" fontId="58" fillId="0" borderId="0" applyAlignment="1" pivotButton="0" quotePrefix="0" xfId="3">
      <alignment vertical="center"/>
    </xf>
    <xf numFmtId="0" fontId="59" fillId="0" borderId="0" applyAlignment="1" pivotButton="0" quotePrefix="0" xfId="3">
      <alignment horizontal="right" vertical="center" shrinkToFit="1"/>
    </xf>
    <xf numFmtId="0" fontId="59" fillId="0" borderId="117" applyAlignment="1" pivotButton="0" quotePrefix="0" xfId="3">
      <alignment horizontal="right" vertical="center" shrinkToFit="1"/>
    </xf>
    <xf numFmtId="0" fontId="5" fillId="0" borderId="0" applyAlignment="1" pivotButton="0" quotePrefix="0" xfId="3">
      <alignment vertical="center"/>
    </xf>
    <xf numFmtId="0" fontId="60" fillId="0" borderId="0" applyAlignment="1" pivotButton="0" quotePrefix="0" xfId="3">
      <alignment horizontal="right" vertical="center"/>
    </xf>
    <xf numFmtId="0" fontId="36" fillId="0" borderId="83" applyAlignment="1" pivotButton="0" quotePrefix="0" xfId="3">
      <alignment horizontal="center" vertical="center" shrinkToFit="1"/>
    </xf>
    <xf numFmtId="0" fontId="36" fillId="0" borderId="23" applyAlignment="1" pivotButton="0" quotePrefix="0" xfId="3">
      <alignment horizontal="center" vertical="center" shrinkToFit="1"/>
    </xf>
    <xf numFmtId="0" fontId="36" fillId="0" borderId="25" applyAlignment="1" pivotButton="0" quotePrefix="0" xfId="3">
      <alignment horizontal="center" vertical="center" shrinkToFit="1"/>
    </xf>
    <xf numFmtId="0" fontId="36" fillId="0" borderId="26" applyAlignment="1" pivotButton="0" quotePrefix="0" xfId="3">
      <alignment horizontal="center" vertical="center" shrinkToFit="1"/>
    </xf>
    <xf numFmtId="0" fontId="36" fillId="0" borderId="28" applyAlignment="1" pivotButton="0" quotePrefix="0" xfId="3">
      <alignment horizontal="center" vertical="center" shrinkToFit="1"/>
    </xf>
    <xf numFmtId="0" fontId="36" fillId="0" borderId="27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shrinkToFit="1"/>
    </xf>
    <xf numFmtId="0" fontId="12" fillId="3" borderId="61" applyAlignment="1" pivotButton="0" quotePrefix="0" xfId="3">
      <alignment horizontal="center" vertical="center" shrinkToFit="1"/>
    </xf>
    <xf numFmtId="0" fontId="22" fillId="0" borderId="6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13" fillId="5" borderId="6" applyAlignment="1" pivotButton="0" quotePrefix="0" xfId="3">
      <alignment horizontal="center" vertical="center" shrinkToFit="1"/>
    </xf>
    <xf numFmtId="14" fontId="32" fillId="0" borderId="0" applyAlignment="1" pivotButton="0" quotePrefix="0" xfId="5">
      <alignment horizontal="center" vertical="center" shrinkToFit="1"/>
    </xf>
    <xf numFmtId="0" fontId="17" fillId="0" borderId="0" applyAlignment="1" pivotButton="0" quotePrefix="0" xfId="5">
      <alignment vertical="center"/>
    </xf>
    <xf numFmtId="0" fontId="21" fillId="0" borderId="12" applyAlignment="1" pivotButton="0" quotePrefix="0" xfId="5">
      <alignment vertical="center"/>
    </xf>
    <xf numFmtId="0" fontId="4" fillId="0" borderId="12" applyAlignment="1" pivotButton="0" quotePrefix="0" xfId="5">
      <alignment vertical="center"/>
    </xf>
    <xf numFmtId="0" fontId="4" fillId="0" borderId="0" applyAlignment="1" pivotButton="0" quotePrefix="0" xfId="5">
      <alignment vertical="center"/>
    </xf>
    <xf numFmtId="0" fontId="40" fillId="0" borderId="12" applyAlignment="1" pivotButton="0" quotePrefix="0" xfId="5">
      <alignment horizontal="center" vertical="center"/>
    </xf>
    <xf numFmtId="0" fontId="40" fillId="0" borderId="0" applyAlignment="1" pivotButton="0" quotePrefix="0" xfId="5">
      <alignment horizontal="center" vertical="center"/>
    </xf>
    <xf numFmtId="0" fontId="15" fillId="5" borderId="6" applyAlignment="1" pivotButton="0" quotePrefix="0" xfId="5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3" fillId="5" borderId="6" applyAlignment="1" pivotButton="0" quotePrefix="0" xfId="5">
      <alignment horizontal="center" vertical="center" shrinkToFit="1"/>
    </xf>
    <xf numFmtId="0" fontId="12" fillId="5" borderId="6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 shrinkToFit="1"/>
    </xf>
    <xf numFmtId="0" fontId="15" fillId="0" borderId="6" applyAlignment="1" pivotButton="0" quotePrefix="0" xfId="5">
      <alignment horizontal="center" vertical="center" shrinkToFit="1"/>
    </xf>
    <xf numFmtId="56" fontId="4" fillId="0" borderId="0" applyAlignment="1" pivotButton="0" quotePrefix="0" xfId="5">
      <alignment vertical="center" shrinkToFit="1"/>
    </xf>
    <xf numFmtId="0" fontId="15" fillId="2" borderId="3" applyAlignment="1" pivotButton="0" quotePrefix="0" xfId="5">
      <alignment horizontal="center" vertical="center" shrinkToFit="1"/>
    </xf>
    <xf numFmtId="0" fontId="39" fillId="0" borderId="0" applyAlignment="1" pivotButton="0" quotePrefix="0" xfId="5">
      <alignment horizontal="center" vertical="center" shrinkToFit="1"/>
    </xf>
    <xf numFmtId="0" fontId="41" fillId="0" borderId="0" applyAlignment="1" pivotButton="0" quotePrefix="0" xfId="5">
      <alignment horizontal="center" vertical="center" shrinkToFit="1"/>
    </xf>
    <xf numFmtId="0" fontId="41" fillId="2" borderId="0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5" fillId="2" borderId="6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vertical="center" shrinkToFit="1"/>
    </xf>
    <xf numFmtId="0" fontId="22" fillId="0" borderId="6" applyAlignment="1" pivotButton="0" quotePrefix="0" xfId="5">
      <alignment horizontal="center" vertical="center" shrinkToFit="1"/>
    </xf>
    <xf numFmtId="0" fontId="15" fillId="9" borderId="6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horizontal="center" vertical="center" shrinkToFit="1"/>
    </xf>
    <xf numFmtId="49" fontId="15" fillId="5" borderId="6" applyAlignment="1" pivotButton="0" quotePrefix="0" xfId="5">
      <alignment horizontal="center" vertical="center" shrinkToFit="1"/>
    </xf>
    <xf numFmtId="0" fontId="4" fillId="0" borderId="4" applyAlignment="1" pivotButton="0" quotePrefix="0" xfId="5">
      <alignment vertical="center"/>
    </xf>
    <xf numFmtId="0" fontId="4" fillId="0" borderId="0" applyAlignment="1" pivotButton="0" quotePrefix="0" xfId="5">
      <alignment horizontal="center" vertical="center"/>
    </xf>
    <xf numFmtId="0" fontId="23" fillId="0" borderId="0" applyAlignment="1" pivotButton="0" quotePrefix="0" xfId="5">
      <alignment horizontal="right" vertical="center"/>
    </xf>
    <xf numFmtId="0" fontId="21" fillId="0" borderId="0" applyAlignment="1" pivotButton="0" quotePrefix="0" xfId="5">
      <alignment vertical="center"/>
    </xf>
    <xf numFmtId="0" fontId="15" fillId="5" borderId="82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vertical="center" shrinkToFit="1"/>
    </xf>
    <xf numFmtId="0" fontId="15" fillId="5" borderId="19" applyAlignment="1" pivotButton="0" quotePrefix="0" xfId="5">
      <alignment horizontal="center" vertical="center" shrinkToFit="1"/>
    </xf>
    <xf numFmtId="0" fontId="15" fillId="0" borderId="20" applyAlignment="1" pivotButton="0" quotePrefix="0" xfId="5">
      <alignment horizontal="center" vertical="center" shrinkToFit="1"/>
    </xf>
    <xf numFmtId="0" fontId="36" fillId="0" borderId="20" applyAlignment="1" pivotButton="0" quotePrefix="0" xfId="5">
      <alignment horizontal="center" vertical="center" shrinkToFit="1"/>
    </xf>
    <xf numFmtId="0" fontId="36" fillId="0" borderId="21" applyAlignment="1" pivotButton="0" quotePrefix="0" xfId="5">
      <alignment horizontal="center" vertical="center" shrinkToFit="1"/>
    </xf>
    <xf numFmtId="0" fontId="36" fillId="0" borderId="83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shrinkToFit="1"/>
    </xf>
    <xf numFmtId="0" fontId="36" fillId="0" borderId="22" applyAlignment="1" pivotButton="0" quotePrefix="0" xfId="5">
      <alignment horizontal="center" vertical="center" shrinkToFit="1"/>
    </xf>
    <xf numFmtId="56" fontId="15" fillId="0" borderId="0" applyAlignment="1" pivotButton="0" quotePrefix="0" xfId="5">
      <alignment vertical="center" shrinkToFit="1"/>
    </xf>
    <xf numFmtId="0" fontId="15" fillId="0" borderId="23" applyAlignment="1" pivotButton="0" quotePrefix="0" xfId="5">
      <alignment horizontal="center" vertical="center" shrinkToFit="1"/>
    </xf>
    <xf numFmtId="0" fontId="36" fillId="0" borderId="23" applyAlignment="1" pivotButton="0" quotePrefix="0" xfId="5">
      <alignment horizontal="center" vertical="center" shrinkToFit="1"/>
    </xf>
    <xf numFmtId="0" fontId="22" fillId="0" borderId="23" applyAlignment="1" pivotButton="0" quotePrefix="0" xfId="5">
      <alignment horizontal="center" vertical="center" shrinkToFit="1"/>
    </xf>
    <xf numFmtId="0" fontId="22" fillId="0" borderId="24" applyAlignment="1" pivotButton="0" quotePrefix="0" xfId="5">
      <alignment horizontal="center" vertical="center" shrinkToFit="1"/>
    </xf>
    <xf numFmtId="0" fontId="36" fillId="0" borderId="25" applyAlignment="1" pivotButton="0" quotePrefix="0" xfId="5">
      <alignment horizontal="center" vertical="center" shrinkToFit="1"/>
    </xf>
    <xf numFmtId="0" fontId="61" fillId="0" borderId="0" applyAlignment="1" pivotButton="0" quotePrefix="0" xfId="5">
      <alignment vertical="center" shrinkToFit="1"/>
    </xf>
    <xf numFmtId="0" fontId="15" fillId="0" borderId="26" applyAlignment="1" pivotButton="0" quotePrefix="0" xfId="5">
      <alignment horizontal="center" vertical="center" shrinkToFit="1"/>
    </xf>
    <xf numFmtId="0" fontId="12" fillId="0" borderId="26" applyAlignment="1" pivotButton="0" quotePrefix="0" xfId="5">
      <alignment horizontal="center" vertical="center" shrinkToFit="1"/>
    </xf>
    <xf numFmtId="0" fontId="36" fillId="0" borderId="26" applyAlignment="1" pivotButton="0" quotePrefix="0" xfId="5">
      <alignment horizontal="center" vertical="center" shrinkToFit="1"/>
    </xf>
    <xf numFmtId="0" fontId="36" fillId="0" borderId="28" applyAlignment="1" pivotButton="0" quotePrefix="0" xfId="5">
      <alignment horizontal="center" vertical="center" shrinkToFit="1"/>
    </xf>
    <xf numFmtId="0" fontId="36" fillId="0" borderId="27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109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9" borderId="41" applyAlignment="1" pivotButton="0" quotePrefix="0" xfId="5">
      <alignment vertical="center" shrinkToFit="1"/>
    </xf>
    <xf numFmtId="0" fontId="24" fillId="0" borderId="0" applyAlignment="1" pivotButton="0" quotePrefix="0" xfId="5">
      <alignment vertical="center" wrapText="1" shrinkToFit="1"/>
    </xf>
    <xf numFmtId="0" fontId="36" fillId="0" borderId="6" applyAlignment="1" pivotButton="0" quotePrefix="0" xfId="5">
      <alignment horizontal="center" vertical="center" shrinkToFit="1"/>
    </xf>
    <xf numFmtId="0" fontId="15" fillId="9" borderId="1" applyAlignment="1" pivotButton="0" quotePrefix="0" xfId="5">
      <alignment vertical="center" shrinkToFit="1"/>
    </xf>
    <xf numFmtId="0" fontId="64" fillId="0" borderId="7" applyAlignment="1" pivotButton="0" quotePrefix="0" xfId="5">
      <alignment vertical="center"/>
    </xf>
    <xf numFmtId="0" fontId="25" fillId="0" borderId="4" applyAlignment="1" pivotButton="0" quotePrefix="0" xfId="5">
      <alignment vertical="center"/>
    </xf>
    <xf numFmtId="0" fontId="25" fillId="0" borderId="8" applyAlignment="1" pivotButton="0" quotePrefix="0" xfId="5">
      <alignment vertical="center"/>
    </xf>
    <xf numFmtId="0" fontId="25" fillId="0" borderId="0" applyAlignment="1" pivotButton="0" quotePrefix="0" xfId="5">
      <alignment vertical="center"/>
    </xf>
    <xf numFmtId="0" fontId="64" fillId="0" borderId="10" applyAlignment="1" pivotButton="0" quotePrefix="0" xfId="5">
      <alignment horizontal="left" vertical="center"/>
    </xf>
    <xf numFmtId="0" fontId="25" fillId="0" borderId="14" applyAlignment="1" pivotButton="0" quotePrefix="0" xfId="5">
      <alignment vertical="center"/>
    </xf>
    <xf numFmtId="0" fontId="33" fillId="0" borderId="0" applyAlignment="1" pivotButton="0" quotePrefix="0" xfId="5">
      <alignment horizontal="left" vertical="center" shrinkToFit="1"/>
    </xf>
    <xf numFmtId="0" fontId="33" fillId="0" borderId="14" applyAlignment="1" pivotButton="0" quotePrefix="0" xfId="5">
      <alignment horizontal="left" vertical="center"/>
    </xf>
    <xf numFmtId="0" fontId="33" fillId="0" borderId="0" applyAlignment="1" pivotButton="0" quotePrefix="0" xfId="5">
      <alignment horizontal="left" vertical="center"/>
    </xf>
    <xf numFmtId="0" fontId="33" fillId="0" borderId="10" applyAlignment="1" pivotButton="0" quotePrefix="0" xfId="5">
      <alignment horizontal="left" vertical="center"/>
    </xf>
    <xf numFmtId="0" fontId="33" fillId="0" borderId="0" applyAlignment="1" pivotButton="0" quotePrefix="0" xfId="5">
      <alignment horizontal="center" vertical="center"/>
    </xf>
    <xf numFmtId="0" fontId="33" fillId="0" borderId="0" applyAlignment="1" pivotButton="0" quotePrefix="0" xfId="5">
      <alignment vertical="center"/>
    </xf>
    <xf numFmtId="0" fontId="33" fillId="0" borderId="11" applyAlignment="1" pivotButton="0" quotePrefix="0" xfId="5">
      <alignment horizontal="left" vertical="center"/>
    </xf>
    <xf numFmtId="0" fontId="33" fillId="0" borderId="12" applyAlignment="1" pivotButton="0" quotePrefix="0" xfId="5">
      <alignment horizontal="center" vertical="center"/>
    </xf>
    <xf numFmtId="0" fontId="33" fillId="0" borderId="12" applyAlignment="1" pivotButton="0" quotePrefix="0" xfId="5">
      <alignment vertical="center"/>
    </xf>
    <xf numFmtId="0" fontId="25" fillId="0" borderId="13" applyAlignment="1" pivotButton="0" quotePrefix="0" xfId="5">
      <alignment vertical="center"/>
    </xf>
    <xf numFmtId="0" fontId="12" fillId="0" borderId="6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vertical="center" shrinkToFit="1"/>
    </xf>
    <xf numFmtId="0" fontId="12" fillId="0" borderId="0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horizontal="right" vertical="center" shrinkToFit="1"/>
    </xf>
    <xf numFmtId="0" fontId="12" fillId="0" borderId="23" applyAlignment="1" pivotButton="0" quotePrefix="0" xfId="5">
      <alignment vertical="center" shrinkToFit="1"/>
    </xf>
    <xf numFmtId="0" fontId="4" fillId="0" borderId="6" applyAlignment="1" pivotButton="0" quotePrefix="0" xfId="5">
      <alignment vertical="center"/>
    </xf>
    <xf numFmtId="0" fontId="12" fillId="0" borderId="31" applyAlignment="1" pivotButton="0" quotePrefix="0" xfId="5">
      <alignment vertical="center" shrinkToFit="1"/>
    </xf>
    <xf numFmtId="0" fontId="12" fillId="0" borderId="0" applyAlignment="1" pivotButton="0" quotePrefix="0" xfId="5">
      <alignment vertical="center" shrinkToFit="1"/>
    </xf>
    <xf numFmtId="0" fontId="13" fillId="3" borderId="6" applyAlignment="1" pivotButton="0" quotePrefix="0" xfId="5">
      <alignment horizontal="center" vertical="center" shrinkToFit="1"/>
    </xf>
    <xf numFmtId="0" fontId="15" fillId="3" borderId="6" applyAlignment="1" pivotButton="0" quotePrefix="0" xfId="5">
      <alignment vertical="center" shrinkToFit="1"/>
    </xf>
    <xf numFmtId="0" fontId="15" fillId="0" borderId="6" applyAlignment="1" pivotButton="0" quotePrefix="0" xfId="5">
      <alignment vertical="center" shrinkToFit="1"/>
    </xf>
    <xf numFmtId="0" fontId="26" fillId="0" borderId="6" applyAlignment="1" pivotButton="0" quotePrefix="0" xfId="5">
      <alignment vertical="center" shrinkToFit="1"/>
    </xf>
    <xf numFmtId="0" fontId="27" fillId="0" borderId="6" applyAlignment="1" pivotButton="0" quotePrefix="0" xfId="5">
      <alignment vertical="center" shrinkToFit="1"/>
    </xf>
    <xf numFmtId="0" fontId="27" fillId="0" borderId="0" applyAlignment="1" pivotButton="0" quotePrefix="0" xfId="5">
      <alignment vertical="center" shrinkToFit="1"/>
    </xf>
    <xf numFmtId="0" fontId="27" fillId="0" borderId="0" applyAlignment="1" pivotButton="0" quotePrefix="0" xfId="5">
      <alignment horizontal="center" vertical="center" shrinkToFit="1"/>
    </xf>
    <xf numFmtId="165" fontId="4" fillId="0" borderId="0" applyAlignment="1" pivotButton="0" quotePrefix="0" xfId="5">
      <alignment vertical="center" shrinkToFit="1"/>
    </xf>
    <xf numFmtId="0" fontId="4" fillId="0" borderId="0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/>
    </xf>
    <xf numFmtId="0" fontId="28" fillId="0" borderId="0" applyAlignment="1" pivotButton="0" quotePrefix="0" xfId="5">
      <alignment horizontal="center" vertical="center"/>
    </xf>
    <xf numFmtId="0" fontId="29" fillId="0" borderId="0" applyAlignment="1" pivotButton="0" quotePrefix="0" xfId="5">
      <alignment horizontal="center" vertical="center" shrinkToFit="1"/>
    </xf>
    <xf numFmtId="0" fontId="4" fillId="0" borderId="6" applyAlignment="1" pivotButton="0" quotePrefix="0" xfId="5">
      <alignment horizontal="center" vertical="center"/>
    </xf>
    <xf numFmtId="0" fontId="28" fillId="0" borderId="12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 shrinkToFit="1"/>
    </xf>
    <xf numFmtId="0" fontId="28" fillId="0" borderId="6" applyAlignment="1" pivotButton="0" quotePrefix="0" xfId="5">
      <alignment horizontal="center" vertical="center" shrinkToFit="1"/>
    </xf>
    <xf numFmtId="0" fontId="30" fillId="0" borderId="0" applyAlignment="1" pivotButton="0" quotePrefix="0" xfId="5">
      <alignment vertical="center" shrinkToFit="1"/>
    </xf>
    <xf numFmtId="0" fontId="30" fillId="0" borderId="0" applyAlignment="1" pivotButton="0" quotePrefix="0" xfId="5">
      <alignment horizontal="center" vertical="center" shrinkToFit="1"/>
    </xf>
    <xf numFmtId="0" fontId="28" fillId="0" borderId="0" applyAlignment="1" pivotButton="0" quotePrefix="0" xfId="5">
      <alignment horizontal="center" vertical="center" shrinkToFit="1"/>
    </xf>
    <xf numFmtId="0" fontId="20" fillId="0" borderId="0" applyAlignment="1" pivotButton="0" quotePrefix="0" xfId="5">
      <alignment vertical="center"/>
    </xf>
    <xf numFmtId="0" fontId="60" fillId="0" borderId="0" applyAlignment="1" pivotButton="0" quotePrefix="0" xfId="5">
      <alignment horizontal="right" vertical="center"/>
    </xf>
    <xf numFmtId="0" fontId="15" fillId="8" borderId="101" applyAlignment="1" pivotButton="0" quotePrefix="0" xfId="5">
      <alignment horizontal="center" vertical="center" shrinkToFit="1"/>
    </xf>
    <xf numFmtId="0" fontId="15" fillId="8" borderId="87" applyAlignment="1" pivotButton="0" quotePrefix="0" xfId="5">
      <alignment horizontal="center" vertical="center" shrinkToFit="1"/>
    </xf>
    <xf numFmtId="0" fontId="15" fillId="8" borderId="88" applyAlignment="1" pivotButton="0" quotePrefix="0" xfId="5">
      <alignment horizontal="center" vertical="center" shrinkToFit="1"/>
    </xf>
    <xf numFmtId="0" fontId="15" fillId="8" borderId="89" applyAlignment="1" pivotButton="0" quotePrefix="0" xfId="5">
      <alignment horizontal="center" vertical="center" shrinkToFit="1"/>
    </xf>
    <xf numFmtId="0" fontId="15" fillId="8" borderId="102" applyAlignment="1" pivotButton="0" quotePrefix="0" xfId="5">
      <alignment horizontal="center" vertical="center" shrinkToFit="1"/>
    </xf>
    <xf numFmtId="0" fontId="15" fillId="12" borderId="102" applyAlignment="1" pivotButton="0" quotePrefix="0" xfId="5">
      <alignment horizontal="center" vertical="center" shrinkToFit="1"/>
    </xf>
    <xf numFmtId="0" fontId="58" fillId="0" borderId="0" applyAlignment="1" pivotButton="0" quotePrefix="0" xfId="5">
      <alignment vertical="center"/>
    </xf>
    <xf numFmtId="0" fontId="12" fillId="0" borderId="76" applyAlignment="1" pivotButton="0" quotePrefix="0" xfId="5">
      <alignment horizontal="center" vertical="center" shrinkToFit="1"/>
    </xf>
    <xf numFmtId="0" fontId="12" fillId="0" borderId="77" applyAlignment="1" pivotButton="0" quotePrefix="0" xfId="5">
      <alignment horizontal="center" vertical="center" shrinkToFit="1"/>
    </xf>
    <xf numFmtId="0" fontId="12" fillId="0" borderId="13" applyAlignment="1" pivotButton="0" quotePrefix="0" xfId="5">
      <alignment horizontal="center" vertical="center" shrinkToFit="1"/>
    </xf>
    <xf numFmtId="0" fontId="59" fillId="0" borderId="0" applyAlignment="1" pivotButton="0" quotePrefix="0" xfId="5">
      <alignment horizontal="right" vertical="center" shrinkToFit="1"/>
    </xf>
    <xf numFmtId="0" fontId="12" fillId="0" borderId="58" applyAlignment="1" pivotButton="0" quotePrefix="0" xfId="5">
      <alignment horizontal="center" vertical="center" shrinkToFit="1"/>
    </xf>
    <xf numFmtId="0" fontId="12" fillId="0" borderId="71" applyAlignment="1" pivotButton="0" quotePrefix="0" xfId="5">
      <alignment horizontal="center" vertical="center" shrinkToFit="1"/>
    </xf>
    <xf numFmtId="0" fontId="12" fillId="0" borderId="78" applyAlignment="1" pivotButton="0" quotePrefix="0" xfId="5">
      <alignment horizontal="center" vertical="center" shrinkToFit="1"/>
    </xf>
    <xf numFmtId="0" fontId="12" fillId="9" borderId="16" applyAlignment="1" pivotButton="0" quotePrefix="0" xfId="5">
      <alignment horizontal="center" vertical="center" shrinkToFit="1"/>
    </xf>
    <xf numFmtId="0" fontId="12" fillId="0" borderId="50" applyAlignment="1" pivotButton="0" quotePrefix="0" xfId="5">
      <alignment horizontal="center" vertical="center" shrinkToFit="1"/>
    </xf>
    <xf numFmtId="0" fontId="12" fillId="0" borderId="51" applyAlignment="1" pivotButton="0" quotePrefix="0" xfId="5">
      <alignment horizontal="center" vertical="center" shrinkToFit="1"/>
    </xf>
    <xf numFmtId="0" fontId="12" fillId="0" borderId="5" applyAlignment="1" pivotButton="0" quotePrefix="0" xfId="5">
      <alignment horizontal="center" vertical="center" shrinkToFit="1"/>
    </xf>
    <xf numFmtId="0" fontId="12" fillId="0" borderId="15" applyAlignment="1" pivotButton="0" quotePrefix="0" xfId="5">
      <alignment horizontal="center" vertical="center" shrinkToFit="1"/>
    </xf>
    <xf numFmtId="0" fontId="12" fillId="9" borderId="85" applyAlignment="1" pivotButton="0" quotePrefix="0" xfId="5">
      <alignment horizontal="center" vertical="center" shrinkToFit="1"/>
    </xf>
    <xf numFmtId="0" fontId="12" fillId="0" borderId="59" applyAlignment="1" pivotButton="0" quotePrefix="0" xfId="5">
      <alignment horizontal="center" vertical="center" shrinkToFit="1"/>
    </xf>
    <xf numFmtId="0" fontId="12" fillId="0" borderId="60" applyAlignment="1" pivotButton="0" quotePrefix="0" xfId="5">
      <alignment horizontal="center" vertical="center" shrinkToFit="1"/>
    </xf>
    <xf numFmtId="0" fontId="12" fillId="0" borderId="61" applyAlignment="1" pivotButton="0" quotePrefix="0" xfId="5">
      <alignment horizontal="center" vertical="center" shrinkToFit="1"/>
    </xf>
    <xf numFmtId="0" fontId="12" fillId="0" borderId="62" applyAlignment="1" pivotButton="0" quotePrefix="0" xfId="5">
      <alignment horizontal="center" vertical="center" shrinkToFit="1"/>
    </xf>
    <xf numFmtId="0" fontId="12" fillId="0" borderId="63" applyAlignment="1" pivotButton="0" quotePrefix="0" xfId="5">
      <alignment horizontal="center" vertical="center" shrinkToFit="1"/>
    </xf>
    <xf numFmtId="0" fontId="12" fillId="3" borderId="61" applyAlignment="1" pivotButton="0" quotePrefix="0" xfId="5">
      <alignment horizontal="center" vertical="center" shrinkToFit="1"/>
    </xf>
    <xf numFmtId="0" fontId="12" fillId="11" borderId="62" applyAlignment="1" pivotButton="0" quotePrefix="0" xfId="5">
      <alignment horizontal="center" vertical="center" shrinkToFit="1"/>
    </xf>
    <xf numFmtId="0" fontId="12" fillId="9" borderId="63" applyAlignment="1" pivotButton="0" quotePrefix="0" xfId="5">
      <alignment horizontal="center" vertical="center" shrinkToFit="1"/>
    </xf>
    <xf numFmtId="0" fontId="12" fillId="0" borderId="40" applyAlignment="1" pivotButton="0" quotePrefix="0" xfId="5">
      <alignment horizontal="center" vertical="center" shrinkToFit="1"/>
    </xf>
    <xf numFmtId="0" fontId="12" fillId="0" borderId="48" applyAlignment="1" pivotButton="0" quotePrefix="0" xfId="5">
      <alignment horizontal="center" vertical="center" shrinkToFit="1"/>
    </xf>
    <xf numFmtId="0" fontId="12" fillId="0" borderId="49" applyAlignment="1" pivotButton="0" quotePrefix="0" xfId="5">
      <alignment horizontal="center" vertical="center" shrinkToFit="1"/>
    </xf>
    <xf numFmtId="0" fontId="12" fillId="0" borderId="41" applyAlignment="1" pivotButton="0" quotePrefix="0" xfId="5">
      <alignment horizontal="center" vertical="center" shrinkToFit="1"/>
    </xf>
    <xf numFmtId="0" fontId="12" fillId="0" borderId="42" applyAlignment="1" pivotButton="0" quotePrefix="0" xfId="5">
      <alignment horizontal="center" vertical="center" shrinkToFit="1"/>
    </xf>
    <xf numFmtId="0" fontId="12" fillId="0" borderId="17" applyAlignment="1" pivotButton="0" quotePrefix="0" xfId="5">
      <alignment horizontal="center" vertical="center" shrinkToFit="1"/>
    </xf>
    <xf numFmtId="0" fontId="12" fillId="0" borderId="44" applyAlignment="1" pivotButton="0" quotePrefix="0" xfId="5">
      <alignment horizontal="center" vertical="center" shrinkToFit="1"/>
    </xf>
    <xf numFmtId="0" fontId="12" fillId="0" borderId="70" applyAlignment="1" pivotButton="0" quotePrefix="0" xfId="5">
      <alignment horizontal="center" vertical="center" shrinkToFit="1"/>
    </xf>
    <xf numFmtId="0" fontId="12" fillId="0" borderId="46" applyAlignment="1" pivotButton="0" quotePrefix="0" xfId="5">
      <alignment horizontal="center" vertical="center" shrinkToFit="1"/>
    </xf>
    <xf numFmtId="0" fontId="12" fillId="9" borderId="47" applyAlignment="1" pivotButton="0" quotePrefix="0" xfId="5">
      <alignment horizontal="center" vertical="center" shrinkToFit="1"/>
    </xf>
    <xf numFmtId="0" fontId="12" fillId="0" borderId="43" applyAlignment="1" pivotButton="0" quotePrefix="0" xfId="5">
      <alignment horizontal="center" vertical="center" shrinkToFit="1"/>
    </xf>
    <xf numFmtId="0" fontId="12" fillId="0" borderId="45" applyAlignment="1" pivotButton="0" quotePrefix="0" xfId="5">
      <alignment horizontal="center" vertical="center" shrinkToFit="1"/>
    </xf>
    <xf numFmtId="0" fontId="12" fillId="11" borderId="46" applyAlignment="1" pivotButton="0" quotePrefix="0" xfId="5">
      <alignment horizontal="center" vertical="center" shrinkToFit="1"/>
    </xf>
    <xf numFmtId="0" fontId="12" fillId="0" borderId="47" applyAlignment="1" pivotButton="0" quotePrefix="0" xfId="5">
      <alignment horizontal="center" vertical="center" shrinkToFit="1"/>
    </xf>
    <xf numFmtId="0" fontId="12" fillId="0" borderId="54" applyAlignment="1" pivotButton="0" quotePrefix="0" xfId="5">
      <alignment horizontal="center" vertical="center" shrinkToFit="1"/>
    </xf>
    <xf numFmtId="0" fontId="12" fillId="2" borderId="3" applyAlignment="1" pivotButton="0" quotePrefix="0" xfId="5">
      <alignment horizontal="center" vertical="center" shrinkToFit="1"/>
    </xf>
    <xf numFmtId="0" fontId="15" fillId="12" borderId="61" applyAlignment="1" pivotButton="0" quotePrefix="0" xfId="5">
      <alignment horizontal="center" vertical="center" shrinkToFit="1"/>
    </xf>
    <xf numFmtId="0" fontId="12" fillId="2" borderId="62" applyAlignment="1" pivotButton="0" quotePrefix="0" xfId="5">
      <alignment horizontal="center" vertical="center" shrinkToFit="1"/>
    </xf>
    <xf numFmtId="0" fontId="15" fillId="12" borderId="62" applyAlignment="1" pivotButton="0" quotePrefix="1" xfId="5">
      <alignment horizontal="center" vertical="center" shrinkToFit="1"/>
    </xf>
    <xf numFmtId="0" fontId="15" fillId="9" borderId="63" applyAlignment="1" pivotButton="0" quotePrefix="0" xfId="5">
      <alignment horizontal="center" vertical="center" shrinkToFit="1"/>
    </xf>
    <xf numFmtId="0" fontId="59" fillId="0" borderId="117" applyAlignment="1" pivotButton="0" quotePrefix="0" xfId="5">
      <alignment horizontal="right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8" borderId="96" applyAlignment="1" pivotButton="0" quotePrefix="0" xfId="5">
      <alignment horizontal="center" vertical="center" shrinkToFit="1"/>
    </xf>
    <xf numFmtId="0" fontId="15" fillId="8" borderId="97" applyAlignment="1" pivotButton="0" quotePrefix="0" xfId="5">
      <alignment horizontal="center" vertical="center" shrinkToFit="1"/>
    </xf>
    <xf numFmtId="0" fontId="15" fillId="8" borderId="98" applyAlignment="1" pivotButton="0" quotePrefix="0" xfId="5">
      <alignment horizontal="center" vertical="center" shrinkToFit="1"/>
    </xf>
    <xf numFmtId="0" fontId="15" fillId="8" borderId="99" applyAlignment="1" pivotButton="0" quotePrefix="0" xfId="5">
      <alignment horizontal="center" vertical="center" shrinkToFit="1"/>
    </xf>
    <xf numFmtId="0" fontId="15" fillId="8" borderId="100" applyAlignment="1" pivotButton="0" quotePrefix="0" xfId="5">
      <alignment horizontal="center" vertical="center" shrinkToFit="1"/>
    </xf>
    <xf numFmtId="0" fontId="15" fillId="0" borderId="77" applyAlignment="1" pivotButton="0" quotePrefix="0" xfId="5">
      <alignment horizontal="center" vertical="center" shrinkToFit="1"/>
    </xf>
    <xf numFmtId="0" fontId="15" fillId="0" borderId="76" applyAlignment="1" pivotButton="0" quotePrefix="0" xfId="5">
      <alignment horizontal="center" vertical="center" shrinkToFit="1"/>
    </xf>
    <xf numFmtId="0" fontId="15" fillId="0" borderId="44" applyAlignment="1" pivotButton="0" quotePrefix="0" xfId="5">
      <alignment horizontal="center" vertical="center" shrinkToFit="1"/>
    </xf>
    <xf numFmtId="0" fontId="15" fillId="0" borderId="43" applyAlignment="1" pivotButton="0" quotePrefix="0" xfId="5">
      <alignment horizontal="center" vertical="center" shrinkToFit="1"/>
    </xf>
    <xf numFmtId="0" fontId="15" fillId="0" borderId="40" applyAlignment="1" pivotButton="0" quotePrefix="0" xfId="5">
      <alignment horizontal="center" vertical="center" shrinkToFit="1"/>
    </xf>
    <xf numFmtId="0" fontId="15" fillId="0" borderId="48" applyAlignment="1" pivotButton="0" quotePrefix="0" xfId="5">
      <alignment horizontal="center" vertical="center" shrinkToFit="1"/>
    </xf>
    <xf numFmtId="0" fontId="12" fillId="2" borderId="49" applyAlignment="1" pivotButton="0" quotePrefix="0" xfId="5">
      <alignment horizontal="center" vertical="center" shrinkToFit="1"/>
    </xf>
    <xf numFmtId="0" fontId="12" fillId="2" borderId="46" applyAlignment="1" pivotButton="0" quotePrefix="0" xfId="5">
      <alignment horizontal="center" vertical="center" shrinkToFit="1"/>
    </xf>
    <xf numFmtId="0" fontId="15" fillId="3" borderId="48" applyAlignment="1" pivotButton="0" quotePrefix="0" xfId="5">
      <alignment horizontal="center" vertical="center" shrinkToFit="1"/>
    </xf>
    <xf numFmtId="0" fontId="12" fillId="0" borderId="75" applyAlignment="1" pivotButton="0" quotePrefix="0" xfId="5">
      <alignment horizontal="center" vertical="center" shrinkToFit="1"/>
    </xf>
    <xf numFmtId="0" fontId="12" fillId="3" borderId="41" applyAlignment="1" pivotButton="0" quotePrefix="0" xfId="5">
      <alignment horizontal="center" vertical="center" shrinkToFit="1"/>
    </xf>
    <xf numFmtId="0" fontId="12" fillId="2" borderId="41" applyAlignment="1" pivotButton="0" quotePrefix="0" xfId="5">
      <alignment horizontal="center" vertical="center" shrinkToFit="1"/>
    </xf>
    <xf numFmtId="0" fontId="12" fillId="0" borderId="90" applyAlignment="1" pivotButton="0" quotePrefix="0" xfId="5">
      <alignment horizontal="center" vertical="center" shrinkToFit="1"/>
    </xf>
    <xf numFmtId="0" fontId="15" fillId="3" borderId="91" applyAlignment="1" pivotButton="0" quotePrefix="0" xfId="5">
      <alignment horizontal="center" vertical="center" shrinkToFit="1"/>
    </xf>
    <xf numFmtId="0" fontId="12" fillId="2" borderId="92" applyAlignment="1" pivotButton="0" quotePrefix="0" xfId="5">
      <alignment horizontal="center" vertical="center" shrinkToFit="1"/>
    </xf>
    <xf numFmtId="0" fontId="12" fillId="0" borderId="93" applyAlignment="1" pivotButton="0" quotePrefix="0" xfId="5">
      <alignment horizontal="center" vertical="center" shrinkToFit="1"/>
    </xf>
    <xf numFmtId="0" fontId="12" fillId="0" borderId="94" applyAlignment="1" pivotButton="0" quotePrefix="0" xfId="5">
      <alignment horizontal="center" vertical="center" shrinkToFit="1"/>
    </xf>
    <xf numFmtId="0" fontId="15" fillId="0" borderId="90" applyAlignment="1" pivotButton="0" quotePrefix="0" xfId="5">
      <alignment horizontal="center" vertical="center" shrinkToFit="1"/>
    </xf>
    <xf numFmtId="0" fontId="12" fillId="0" borderId="91" applyAlignment="1" pivotButton="0" quotePrefix="0" xfId="5">
      <alignment horizontal="center" vertical="center" shrinkToFit="1"/>
    </xf>
    <xf numFmtId="0" fontId="12" fillId="2" borderId="93" applyAlignment="1" pivotButton="0" quotePrefix="0" xfId="5">
      <alignment horizontal="center" vertical="center" shrinkToFit="1"/>
    </xf>
    <xf numFmtId="0" fontId="15" fillId="8" borderId="119" applyAlignment="1" pivotButton="0" quotePrefix="0" xfId="5">
      <alignment horizontal="center" vertical="center" shrinkToFit="1"/>
    </xf>
    <xf numFmtId="0" fontId="15" fillId="8" borderId="120" applyAlignment="1" pivotButton="0" quotePrefix="0" xfId="5">
      <alignment horizontal="center" vertical="center" shrinkToFit="1"/>
    </xf>
    <xf numFmtId="0" fontId="15" fillId="8" borderId="121" applyAlignment="1" pivotButton="0" quotePrefix="0" xfId="5">
      <alignment horizontal="center" vertical="center" shrinkToFit="1"/>
    </xf>
    <xf numFmtId="0" fontId="15" fillId="8" borderId="122" applyAlignment="1" pivotButton="0" quotePrefix="0" xfId="5">
      <alignment horizontal="center" vertical="center" shrinkToFit="1"/>
    </xf>
    <xf numFmtId="0" fontId="12" fillId="8" borderId="122" applyAlignment="1" pivotButton="0" quotePrefix="0" xfId="5">
      <alignment horizontal="center" vertical="center" shrinkToFit="1"/>
    </xf>
    <xf numFmtId="0" fontId="15" fillId="12" borderId="110" applyAlignment="1" pivotButton="0" quotePrefix="0" xfId="5">
      <alignment horizontal="center" vertical="center" shrinkToFit="1"/>
    </xf>
    <xf numFmtId="0" fontId="15" fillId="8" borderId="58" applyAlignment="1" pivotButton="0" quotePrefix="0" xfId="5">
      <alignment horizontal="center" vertical="center" shrinkToFit="1"/>
    </xf>
    <xf numFmtId="0" fontId="15" fillId="8" borderId="71" applyAlignment="1" pivotButton="0" quotePrefix="0" xfId="5">
      <alignment horizontal="center" vertical="center" shrinkToFit="1"/>
    </xf>
    <xf numFmtId="0" fontId="15" fillId="8" borderId="14" applyAlignment="1" pivotButton="0" quotePrefix="0" xfId="5">
      <alignment horizontal="center" vertical="center" shrinkToFit="1"/>
    </xf>
    <xf numFmtId="0" fontId="15" fillId="8" borderId="2" applyAlignment="1" pivotButton="0" quotePrefix="0" xfId="5">
      <alignment horizontal="center" vertical="center" shrinkToFit="1"/>
    </xf>
    <xf numFmtId="0" fontId="12" fillId="8" borderId="2" applyAlignment="1" pivotButton="0" quotePrefix="0" xfId="5">
      <alignment horizontal="center" vertical="center" shrinkToFit="1"/>
    </xf>
    <xf numFmtId="0" fontId="15" fillId="12" borderId="17" applyAlignment="1" pivotButton="0" quotePrefix="0" xfId="5">
      <alignment horizontal="center" vertical="center" shrinkToFit="1"/>
    </xf>
    <xf numFmtId="0" fontId="15" fillId="3" borderId="51" applyAlignment="1" pivotButton="0" quotePrefix="0" xfId="5">
      <alignment horizontal="center" vertical="center" shrinkToFit="1"/>
    </xf>
    <xf numFmtId="0" fontId="12" fillId="0" borderId="52" applyAlignment="1" pivotButton="0" quotePrefix="0" xfId="5">
      <alignment horizontal="center" vertical="center" shrinkToFit="1"/>
    </xf>
    <xf numFmtId="0" fontId="15" fillId="9" borderId="85" applyAlignment="1" pivotButton="0" quotePrefix="0" xfId="5">
      <alignment horizontal="center" vertical="center" shrinkToFit="1"/>
    </xf>
    <xf numFmtId="0" fontId="12" fillId="0" borderId="9" applyAlignment="1" pivotButton="0" quotePrefix="0" xfId="5">
      <alignment horizontal="center" vertical="center" shrinkToFit="1"/>
    </xf>
    <xf numFmtId="0" fontId="15" fillId="3" borderId="60" applyAlignment="1" pivotButton="0" quotePrefix="0" xfId="5">
      <alignment horizontal="center" vertical="center" shrinkToFit="1"/>
    </xf>
    <xf numFmtId="0" fontId="12" fillId="2" borderId="61" applyAlignment="1" pivotButton="0" quotePrefix="0" xfId="5">
      <alignment horizontal="center" vertical="center" shrinkToFit="1"/>
    </xf>
    <xf numFmtId="0" fontId="12" fillId="0" borderId="74" applyAlignment="1" pivotButton="0" quotePrefix="0" xfId="5">
      <alignment horizontal="center" vertical="center" shrinkToFit="1"/>
    </xf>
    <xf numFmtId="0" fontId="12" fillId="0" borderId="64" applyAlignment="1" pivotButton="0" quotePrefix="0" xfId="5">
      <alignment horizontal="center" vertical="center" shrinkToFit="1"/>
    </xf>
    <xf numFmtId="0" fontId="15" fillId="3" borderId="65" applyAlignment="1" pivotButton="0" quotePrefix="0" xfId="5">
      <alignment horizontal="center" vertical="center" shrinkToFit="1"/>
    </xf>
    <xf numFmtId="0" fontId="12" fillId="0" borderId="56" applyAlignment="1" pivotButton="0" quotePrefix="0" xfId="5">
      <alignment horizontal="center" vertical="center" shrinkToFit="1"/>
    </xf>
    <xf numFmtId="0" fontId="12" fillId="0" borderId="57" applyAlignment="1" pivotButton="0" quotePrefix="0" xfId="5">
      <alignment horizontal="center" vertical="center" shrinkToFit="1"/>
    </xf>
    <xf numFmtId="0" fontId="12" fillId="2" borderId="57" applyAlignment="1" pivotButton="0" quotePrefix="0" xfId="5">
      <alignment horizontal="center" vertical="center" shrinkToFit="1"/>
    </xf>
    <xf numFmtId="0" fontId="12" fillId="0" borderId="66" applyAlignment="1" pivotButton="0" quotePrefix="0" xfId="5">
      <alignment horizontal="center" vertical="center" shrinkToFit="1"/>
    </xf>
    <xf numFmtId="0" fontId="12" fillId="0" borderId="65" applyAlignment="1" pivotButton="0" quotePrefix="0" xfId="5">
      <alignment horizontal="center" vertical="center" shrinkToFit="1"/>
    </xf>
    <xf numFmtId="0" fontId="12" fillId="2" borderId="66" applyAlignment="1" pivotButton="0" quotePrefix="0" xfId="5">
      <alignment horizontal="center" vertical="center" shrinkToFit="1"/>
    </xf>
    <xf numFmtId="0" fontId="15" fillId="12" borderId="84" applyAlignment="1" pivotButton="0" quotePrefix="0" xfId="5">
      <alignment horizontal="center" vertical="center" shrinkToFit="1"/>
    </xf>
    <xf numFmtId="0" fontId="15" fillId="2" borderId="62" applyAlignment="1" pivotButton="0" quotePrefix="0" xfId="5">
      <alignment horizontal="center" vertical="center" shrinkToFit="1"/>
    </xf>
    <xf numFmtId="0" fontId="15" fillId="2" borderId="62" applyAlignment="1" pivotButton="0" quotePrefix="1" xfId="5">
      <alignment horizontal="center" vertical="center" shrinkToFit="1"/>
    </xf>
    <xf numFmtId="0" fontId="55" fillId="0" borderId="0" applyAlignment="1" pivotButton="0" quotePrefix="0" xfId="5">
      <alignment vertical="center"/>
    </xf>
    <xf numFmtId="0" fontId="47" fillId="0" borderId="0" applyAlignment="1" pivotButton="0" quotePrefix="0" xfId="5">
      <alignment horizontal="right" vertical="center" shrinkToFit="1"/>
    </xf>
    <xf numFmtId="0" fontId="46" fillId="0" borderId="0" applyAlignment="1" pivotButton="0" quotePrefix="0" xfId="5">
      <alignment vertical="center"/>
    </xf>
    <xf numFmtId="0" fontId="45" fillId="0" borderId="0" applyAlignment="1" pivotButton="0" quotePrefix="0" xfId="5">
      <alignment vertical="center"/>
    </xf>
    <xf numFmtId="0" fontId="15" fillId="5" borderId="93" applyAlignment="1" pivotButton="0" quotePrefix="0" xfId="5">
      <alignment horizontal="center" vertical="center" shrinkToFit="1"/>
    </xf>
    <xf numFmtId="0" fontId="15" fillId="5" borderId="114" applyAlignment="1" pivotButton="0" quotePrefix="0" xfId="5">
      <alignment horizontal="center" vertical="center" shrinkToFit="1"/>
    </xf>
    <xf numFmtId="0" fontId="15" fillId="5" borderId="115" applyAlignment="1" pivotButton="0" quotePrefix="0" xfId="5">
      <alignment horizontal="center" vertical="center" shrinkToFit="1"/>
    </xf>
    <xf numFmtId="0" fontId="15" fillId="5" borderId="91" applyAlignment="1" pivotButton="0" quotePrefix="0" xfId="5">
      <alignment horizontal="center" vertical="center" shrinkToFit="1"/>
    </xf>
    <xf numFmtId="0" fontId="15" fillId="5" borderId="92" applyAlignment="1" pivotButton="0" quotePrefix="0" xfId="5">
      <alignment horizontal="center" vertical="center" shrinkToFit="1"/>
    </xf>
    <xf numFmtId="0" fontId="12" fillId="0" borderId="11" applyAlignment="1" pivotButton="0" quotePrefix="0" xfId="5">
      <alignment horizontal="center" vertical="center" shrinkToFit="1"/>
    </xf>
    <xf numFmtId="0" fontId="15" fillId="4" borderId="6" applyAlignment="1" pivotButton="0" quotePrefix="0" xfId="5">
      <alignment horizontal="center" vertical="center" shrinkToFit="1"/>
    </xf>
    <xf numFmtId="0" fontId="15" fillId="0" borderId="51" applyAlignment="1" pivotButton="0" quotePrefix="0" xfId="5">
      <alignment horizontal="center" vertical="center" shrinkToFit="1"/>
    </xf>
    <xf numFmtId="0" fontId="22" fillId="0" borderId="51" applyAlignment="1" pivotButton="0" quotePrefix="0" xfId="5">
      <alignment horizontal="center" vertical="center" shrinkToFit="1"/>
    </xf>
    <xf numFmtId="0" fontId="12" fillId="5" borderId="51" applyAlignment="1" pivotButton="0" quotePrefix="0" xfId="5">
      <alignment horizontal="center" vertical="center" shrinkToFit="1"/>
    </xf>
    <xf numFmtId="0" fontId="12" fillId="4" borderId="5" applyAlignment="1" pivotButton="0" quotePrefix="0" xfId="5">
      <alignment horizontal="center" vertical="center" shrinkToFit="1"/>
    </xf>
    <xf numFmtId="0" fontId="12" fillId="4" borderId="6" applyAlignment="1" pivotButton="0" quotePrefix="0" xfId="5">
      <alignment horizontal="center" vertical="center" shrinkToFit="1"/>
    </xf>
    <xf numFmtId="0" fontId="12" fillId="4" borderId="51" applyAlignment="1" pivotButton="0" quotePrefix="0" xfId="5">
      <alignment horizontal="center" vertical="center" shrinkToFit="1"/>
    </xf>
    <xf numFmtId="0" fontId="12" fillId="4" borderId="52" applyAlignment="1" pivotButton="0" quotePrefix="0" xfId="5">
      <alignment horizontal="center" vertical="center" shrinkToFit="1"/>
    </xf>
    <xf numFmtId="0" fontId="15" fillId="0" borderId="5" applyAlignment="1" pivotButton="0" quotePrefix="0" xfId="5">
      <alignment horizontal="center" vertical="center" shrinkToFit="1"/>
    </xf>
    <xf numFmtId="0" fontId="12" fillId="5" borderId="52" applyAlignment="1" pivotButton="0" quotePrefix="0" xfId="5">
      <alignment horizontal="center" vertical="center" shrinkToFit="1"/>
    </xf>
    <xf numFmtId="0" fontId="15" fillId="4" borderId="5" applyAlignment="1" pivotButton="0" quotePrefix="0" xfId="5">
      <alignment horizontal="center" vertical="center" shrinkToFit="1"/>
    </xf>
    <xf numFmtId="0" fontId="13" fillId="0" borderId="52" applyAlignment="1" pivotButton="0" quotePrefix="0" xfId="5">
      <alignment horizontal="center" vertical="center" shrinkToFit="1"/>
    </xf>
    <xf numFmtId="0" fontId="13" fillId="0" borderId="6" applyAlignment="1" pivotButton="0" quotePrefix="0" xfId="5">
      <alignment horizontal="center" vertical="center" shrinkToFit="1"/>
    </xf>
    <xf numFmtId="0" fontId="15" fillId="0" borderId="52" applyAlignment="1" pivotButton="0" quotePrefix="0" xfId="5">
      <alignment horizontal="center" vertical="center" shrinkToFit="1"/>
    </xf>
    <xf numFmtId="0" fontId="15" fillId="0" borderId="93" applyAlignment="1" pivotButton="0" quotePrefix="0" xfId="5">
      <alignment horizontal="center" vertical="center" shrinkToFit="1"/>
    </xf>
    <xf numFmtId="0" fontId="15" fillId="0" borderId="91" applyAlignment="1" pivotButton="0" quotePrefix="0" xfId="5">
      <alignment horizontal="center" vertical="center" shrinkToFit="1"/>
    </xf>
    <xf numFmtId="0" fontId="15" fillId="0" borderId="92" applyAlignment="1" pivotButton="0" quotePrefix="0" xfId="5">
      <alignment horizontal="center" vertical="center" shrinkToFit="1"/>
    </xf>
    <xf numFmtId="0" fontId="12" fillId="0" borderId="114" applyAlignment="1" pivotButton="0" quotePrefix="0" xfId="5">
      <alignment horizontal="center" vertical="center" shrinkToFit="1"/>
    </xf>
    <xf numFmtId="0" fontId="15" fillId="0" borderId="115" applyAlignment="1" pivotButton="0" quotePrefix="0" xfId="5">
      <alignment horizontal="center" vertical="center" shrinkToFit="1"/>
    </xf>
    <xf numFmtId="0" fontId="13" fillId="0" borderId="3" applyAlignment="1" pivotButton="0" quotePrefix="0" xfId="5">
      <alignment horizontal="center" vertical="center" shrinkToFit="1"/>
    </xf>
    <xf numFmtId="0" fontId="38" fillId="0" borderId="77" applyAlignment="1" pivotButton="0" quotePrefix="0" xfId="5">
      <alignment horizontal="center" vertical="center" shrinkToFit="1"/>
    </xf>
    <xf numFmtId="0" fontId="15" fillId="0" borderId="13" applyAlignment="1" pivotButton="0" quotePrefix="0" xfId="5">
      <alignment horizontal="center" vertical="center" shrinkToFit="1"/>
    </xf>
    <xf numFmtId="0" fontId="15" fillId="0" borderId="11" applyAlignment="1" pivotButton="0" quotePrefix="0" xfId="5">
      <alignment horizontal="center" vertical="center" shrinkToFit="1"/>
    </xf>
    <xf numFmtId="0" fontId="15" fillId="0" borderId="78" applyAlignment="1" pivotButton="0" quotePrefix="0" xfId="5">
      <alignment horizontal="center" vertical="center" shrinkToFit="1"/>
    </xf>
    <xf numFmtId="0" fontId="38" fillId="0" borderId="3" applyAlignment="1" pivotButton="0" quotePrefix="0" xfId="5">
      <alignment horizontal="center" vertical="center" shrinkToFit="1"/>
    </xf>
    <xf numFmtId="0" fontId="65" fillId="0" borderId="7" applyAlignment="1" pivotButton="0" quotePrefix="0" xfId="3">
      <alignment vertical="center"/>
    </xf>
    <xf numFmtId="0" fontId="67" fillId="0" borderId="4" applyAlignment="1" pivotButton="0" quotePrefix="0" xfId="3">
      <alignment vertical="center"/>
    </xf>
    <xf numFmtId="0" fontId="67" fillId="0" borderId="8" applyAlignment="1" pivotButton="0" quotePrefix="0" xfId="3">
      <alignment vertical="center"/>
    </xf>
    <xf numFmtId="0" fontId="67" fillId="0" borderId="0" applyAlignment="1" pivotButton="0" quotePrefix="0" xfId="3">
      <alignment vertical="center"/>
    </xf>
    <xf numFmtId="0" fontId="67" fillId="0" borderId="14" applyAlignment="1" pivotButton="0" quotePrefix="0" xfId="3">
      <alignment vertical="center"/>
    </xf>
    <xf numFmtId="0" fontId="65" fillId="0" borderId="14" applyAlignment="1" pivotButton="0" quotePrefix="0" xfId="3">
      <alignment horizontal="left" vertical="center"/>
    </xf>
    <xf numFmtId="0" fontId="68" fillId="0" borderId="0" applyAlignment="1" pivotButton="0" quotePrefix="0" xfId="3">
      <alignment horizontal="center" vertical="center" shrinkToFit="1"/>
    </xf>
    <xf numFmtId="0" fontId="12" fillId="3" borderId="41" applyAlignment="1" pivotButton="0" quotePrefix="0" xfId="3">
      <alignment horizontal="center" vertical="center" shrinkToFit="1"/>
    </xf>
    <xf numFmtId="0" fontId="12" fillId="2" borderId="41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vertical="center"/>
    </xf>
    <xf numFmtId="0" fontId="36" fillId="0" borderId="51" applyAlignment="1" pivotButton="0" quotePrefix="0" xfId="3">
      <alignment horizontal="center" vertical="center" shrinkToFit="1"/>
    </xf>
    <xf numFmtId="0" fontId="12" fillId="0" borderId="115" applyAlignment="1" pivotButton="0" quotePrefix="0" xfId="3">
      <alignment horizontal="center" vertical="center" shrinkToFit="1"/>
    </xf>
    <xf numFmtId="0" fontId="69" fillId="0" borderId="77" applyAlignment="1" pivotButton="0" quotePrefix="0" xfId="3">
      <alignment horizontal="center" vertical="center" shrinkToFit="1"/>
    </xf>
    <xf numFmtId="0" fontId="69" fillId="0" borderId="3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vertical="center"/>
    </xf>
    <xf numFmtId="0" fontId="12" fillId="14" borderId="6" applyAlignment="1" pivotButton="0" quotePrefix="0" xfId="3">
      <alignment horizontal="center" vertical="center" shrinkToFit="1"/>
    </xf>
    <xf numFmtId="0" fontId="12" fillId="14" borderId="51" applyAlignment="1" pivotButton="0" quotePrefix="0" xfId="3">
      <alignment horizontal="center" vertical="center" shrinkToFit="1"/>
    </xf>
    <xf numFmtId="0" fontId="12" fillId="14" borderId="5" applyAlignment="1" pivotButton="0" quotePrefix="0" xfId="3">
      <alignment horizontal="center" vertical="center" shrinkToFit="1"/>
    </xf>
    <xf numFmtId="0" fontId="12" fillId="14" borderId="52" applyAlignment="1" pivotButton="0" quotePrefix="0" xfId="3">
      <alignment horizontal="center" vertical="center" shrinkToFit="1"/>
    </xf>
    <xf numFmtId="0" fontId="15" fillId="0" borderId="88" applyAlignment="1" pivotButton="0" quotePrefix="0" xfId="3">
      <alignment horizontal="center" vertical="center" shrinkToFit="1"/>
    </xf>
    <xf numFmtId="0" fontId="15" fillId="0" borderId="89" applyAlignment="1" pivotButton="0" quotePrefix="0" xfId="3">
      <alignment horizontal="center" vertical="center" shrinkToFit="1"/>
    </xf>
    <xf numFmtId="0" fontId="15" fillId="0" borderId="102" applyAlignment="1" pivotButton="0" quotePrefix="0" xfId="3">
      <alignment horizontal="center" vertical="center" shrinkToFit="1"/>
    </xf>
    <xf numFmtId="0" fontId="12" fillId="0" borderId="85" applyAlignment="1" pivotButton="0" quotePrefix="0" xfId="3">
      <alignment horizontal="center" vertical="center" shrinkToFit="1"/>
    </xf>
    <xf numFmtId="0" fontId="15" fillId="0" borderId="61" applyAlignment="1" pivotButton="0" quotePrefix="0" xfId="3">
      <alignment horizontal="center" vertical="center" shrinkToFit="1"/>
    </xf>
    <xf numFmtId="0" fontId="15" fillId="0" borderId="62" applyAlignment="1" pivotButton="0" quotePrefix="1" xfId="3">
      <alignment horizontal="center" vertical="center" shrinkToFit="1"/>
    </xf>
    <xf numFmtId="0" fontId="15" fillId="0" borderId="63" applyAlignment="1" pivotButton="0" quotePrefix="0" xfId="3">
      <alignment horizontal="center" vertical="center" shrinkToFit="1"/>
    </xf>
    <xf numFmtId="0" fontId="15" fillId="0" borderId="85" applyAlignment="1" pivotButton="0" quotePrefix="0" xfId="3">
      <alignment horizontal="center" vertical="center" shrinkToFit="1"/>
    </xf>
    <xf numFmtId="0" fontId="15" fillId="0" borderId="62" applyAlignment="1" pivotButton="0" quotePrefix="0" xfId="3">
      <alignment horizontal="center" vertical="center" shrinkToFit="1"/>
    </xf>
    <xf numFmtId="0" fontId="12" fillId="0" borderId="84" applyAlignment="1" pivotButton="0" quotePrefix="0" xfId="3">
      <alignment horizontal="center" vertical="center" shrinkToFit="1"/>
    </xf>
    <xf numFmtId="0" fontId="12" fillId="0" borderId="62" applyAlignment="1" pivotButton="0" quotePrefix="1" xfId="3">
      <alignment horizontal="center" vertical="center" shrinkToFit="1"/>
    </xf>
    <xf numFmtId="0" fontId="15" fillId="0" borderId="2" applyAlignment="1" pivotButton="0" quotePrefix="1" xfId="3">
      <alignment horizontal="center" vertical="center" shrinkToFit="1"/>
    </xf>
    <xf numFmtId="0" fontId="71" fillId="8" borderId="101" applyAlignment="1" pivotButton="0" quotePrefix="0" xfId="3">
      <alignment horizontal="center" vertical="center" shrinkToFit="1"/>
    </xf>
    <xf numFmtId="0" fontId="71" fillId="8" borderId="87" applyAlignment="1" pivotButton="0" quotePrefix="0" xfId="3">
      <alignment horizontal="center" vertical="center" shrinkToFit="1"/>
    </xf>
    <xf numFmtId="0" fontId="71" fillId="8" borderId="88" applyAlignment="1" pivotButton="0" quotePrefix="0" xfId="3">
      <alignment horizontal="center" vertical="center" shrinkToFit="1"/>
    </xf>
    <xf numFmtId="0" fontId="71" fillId="8" borderId="89" applyAlignment="1" pivotButton="0" quotePrefix="0" xfId="3">
      <alignment horizontal="center" vertical="center" shrinkToFit="1"/>
    </xf>
    <xf numFmtId="0" fontId="71" fillId="12" borderId="102" applyAlignment="1" pivotButton="0" quotePrefix="0" xfId="3">
      <alignment horizontal="center" vertical="center" shrinkToFit="1"/>
    </xf>
    <xf numFmtId="0" fontId="71" fillId="8" borderId="102" applyAlignment="1" pivotButton="0" quotePrefix="0" xfId="3">
      <alignment horizontal="center" vertical="center" shrinkToFit="1"/>
    </xf>
    <xf numFmtId="0" fontId="71" fillId="8" borderId="96" applyAlignment="1" pivotButton="0" quotePrefix="0" xfId="3">
      <alignment horizontal="center" vertical="center" shrinkToFit="1"/>
    </xf>
    <xf numFmtId="0" fontId="71" fillId="8" borderId="97" applyAlignment="1" pivotButton="0" quotePrefix="0" xfId="3">
      <alignment horizontal="center" vertical="center" shrinkToFit="1"/>
    </xf>
    <xf numFmtId="0" fontId="71" fillId="8" borderId="98" applyAlignment="1" pivotButton="0" quotePrefix="0" xfId="3">
      <alignment horizontal="center" vertical="center" shrinkToFit="1"/>
    </xf>
    <xf numFmtId="0" fontId="71" fillId="8" borderId="99" applyAlignment="1" pivotButton="0" quotePrefix="0" xfId="3">
      <alignment horizontal="center" vertical="center" shrinkToFit="1"/>
    </xf>
    <xf numFmtId="0" fontId="71" fillId="8" borderId="100" applyAlignment="1" pivotButton="0" quotePrefix="0" xfId="3">
      <alignment horizontal="center" vertical="center" shrinkToFit="1"/>
    </xf>
    <xf numFmtId="0" fontId="71" fillId="12" borderId="62" applyAlignment="1" pivotButton="0" quotePrefix="1" xfId="3">
      <alignment horizontal="center" vertical="center" shrinkToFit="1"/>
    </xf>
    <xf numFmtId="0" fontId="71" fillId="8" borderId="119" applyAlignment="1" pivotButton="0" quotePrefix="0" xfId="3">
      <alignment horizontal="center" vertical="center" shrinkToFit="1"/>
    </xf>
    <xf numFmtId="0" fontId="71" fillId="8" borderId="120" applyAlignment="1" pivotButton="0" quotePrefix="0" xfId="3">
      <alignment horizontal="center" vertical="center" shrinkToFit="1"/>
    </xf>
    <xf numFmtId="0" fontId="71" fillId="8" borderId="121" applyAlignment="1" pivotButton="0" quotePrefix="0" xfId="3">
      <alignment horizontal="center" vertical="center" shrinkToFit="1"/>
    </xf>
    <xf numFmtId="0" fontId="71" fillId="8" borderId="122" applyAlignment="1" pivotButton="0" quotePrefix="0" xfId="3">
      <alignment horizontal="center" vertical="center" shrinkToFit="1"/>
    </xf>
    <xf numFmtId="0" fontId="73" fillId="8" borderId="122" applyAlignment="1" pivotButton="0" quotePrefix="0" xfId="3">
      <alignment horizontal="center" vertical="center" shrinkToFit="1"/>
    </xf>
    <xf numFmtId="0" fontId="71" fillId="12" borderId="110" applyAlignment="1" pivotButton="0" quotePrefix="0" xfId="3">
      <alignment horizontal="center" vertical="center" shrinkToFit="1"/>
    </xf>
    <xf numFmtId="0" fontId="73" fillId="8" borderId="58" applyAlignment="1" pivotButton="0" quotePrefix="0" xfId="3">
      <alignment horizontal="center" vertical="center" shrinkToFit="1"/>
    </xf>
    <xf numFmtId="0" fontId="73" fillId="8" borderId="71" applyAlignment="1" pivotButton="0" quotePrefix="0" xfId="3">
      <alignment horizontal="center" vertical="center" shrinkToFit="1"/>
    </xf>
    <xf numFmtId="0" fontId="73" fillId="8" borderId="14" applyAlignment="1" pivotButton="0" quotePrefix="0" xfId="3">
      <alignment horizontal="center" vertical="center" shrinkToFit="1"/>
    </xf>
    <xf numFmtId="0" fontId="73" fillId="8" borderId="2" applyAlignment="1" pivotButton="0" quotePrefix="0" xfId="3">
      <alignment horizontal="center" vertical="center" shrinkToFit="1"/>
    </xf>
    <xf numFmtId="0" fontId="73" fillId="12" borderId="17" applyAlignment="1" pivotButton="0" quotePrefix="0" xfId="3">
      <alignment horizontal="center" vertical="center" shrinkToFit="1"/>
    </xf>
    <xf numFmtId="0" fontId="71" fillId="12" borderId="84" applyAlignment="1" pivotButton="0" quotePrefix="0" xfId="3">
      <alignment horizontal="center" vertical="center" shrinkToFit="1"/>
    </xf>
    <xf numFmtId="0" fontId="73" fillId="12" borderId="84" applyAlignment="1" pivotButton="0" quotePrefix="0" xfId="3">
      <alignment horizontal="center" vertical="center" shrinkToFit="1"/>
    </xf>
    <xf numFmtId="0" fontId="73" fillId="12" borderId="62" applyAlignment="1" pivotButton="0" quotePrefix="1" xfId="3">
      <alignment horizontal="center" vertical="center" shrinkToFit="1"/>
    </xf>
    <xf numFmtId="0" fontId="73" fillId="15" borderId="76" applyAlignment="1" pivotButton="0" quotePrefix="0" xfId="3">
      <alignment horizontal="center" vertical="center" shrinkToFit="1"/>
    </xf>
    <xf numFmtId="0" fontId="15" fillId="15" borderId="77" applyAlignment="1" pivotButton="0" quotePrefix="0" xfId="3">
      <alignment horizontal="center" vertical="center" shrinkToFit="1"/>
    </xf>
    <xf numFmtId="0" fontId="73" fillId="15" borderId="43" applyAlignment="1" pivotButton="0" quotePrefix="0" xfId="3">
      <alignment horizontal="center" vertical="center" shrinkToFit="1"/>
    </xf>
    <xf numFmtId="0" fontId="15" fillId="15" borderId="44" applyAlignment="1" pivotButton="0" quotePrefix="0" xfId="3">
      <alignment horizontal="center" vertical="center" shrinkToFit="1"/>
    </xf>
    <xf numFmtId="0" fontId="71" fillId="15" borderId="40" applyAlignment="1" pivotButton="0" quotePrefix="0" xfId="3">
      <alignment horizontal="center" vertical="center" shrinkToFit="1"/>
    </xf>
    <xf numFmtId="0" fontId="15" fillId="15" borderId="48" applyAlignment="1" pivotButton="0" quotePrefix="0" xfId="3">
      <alignment horizontal="center" vertical="center" shrinkToFit="1"/>
    </xf>
    <xf numFmtId="0" fontId="71" fillId="15" borderId="43" applyAlignment="1" pivotButton="0" quotePrefix="0" xfId="3">
      <alignment horizontal="center" vertical="center" shrinkToFit="1"/>
    </xf>
    <xf numFmtId="0" fontId="73" fillId="15" borderId="40" applyAlignment="1" pivotButton="0" quotePrefix="0" xfId="3">
      <alignment horizontal="center" vertical="center" shrinkToFit="1"/>
    </xf>
    <xf numFmtId="0" fontId="73" fillId="15" borderId="90" applyAlignment="1" pivotButton="0" quotePrefix="0" xfId="3">
      <alignment horizontal="center" vertical="center" shrinkToFit="1"/>
    </xf>
    <xf numFmtId="0" fontId="15" fillId="15" borderId="91" applyAlignment="1" pivotButton="0" quotePrefix="0" xfId="3">
      <alignment horizontal="center" vertical="center" shrinkToFit="1"/>
    </xf>
    <xf numFmtId="0" fontId="12" fillId="15" borderId="77" applyAlignment="1" pivotButton="0" quotePrefix="0" xfId="3">
      <alignment horizontal="center" vertical="center" shrinkToFit="1"/>
    </xf>
    <xf numFmtId="0" fontId="12" fillId="15" borderId="44" applyAlignment="1" pivotButton="0" quotePrefix="0" xfId="3">
      <alignment horizontal="center" vertical="center" shrinkToFit="1"/>
    </xf>
    <xf numFmtId="0" fontId="12" fillId="15" borderId="48" applyAlignment="1" pivotButton="0" quotePrefix="0" xfId="3">
      <alignment horizontal="center" vertical="center" shrinkToFit="1"/>
    </xf>
    <xf numFmtId="0" fontId="12" fillId="15" borderId="91" applyAlignment="1" pivotButton="0" quotePrefix="0" xfId="3">
      <alignment horizontal="center" vertical="center" shrinkToFit="1"/>
    </xf>
    <xf numFmtId="0" fontId="73" fillId="15" borderId="50" applyAlignment="1" pivotButton="0" quotePrefix="0" xfId="3">
      <alignment horizontal="center" vertical="center" shrinkToFit="1"/>
    </xf>
    <xf numFmtId="0" fontId="15" fillId="15" borderId="51" applyAlignment="1" pivotButton="0" quotePrefix="0" xfId="3">
      <alignment horizontal="center" vertical="center" shrinkToFit="1"/>
    </xf>
    <xf numFmtId="0" fontId="73" fillId="15" borderId="59" applyAlignment="1" pivotButton="0" quotePrefix="0" xfId="3">
      <alignment horizontal="center" vertical="center" shrinkToFit="1"/>
    </xf>
    <xf numFmtId="0" fontId="15" fillId="15" borderId="60" applyAlignment="1" pivotButton="0" quotePrefix="0" xfId="3">
      <alignment horizontal="center" vertical="center" shrinkToFit="1"/>
    </xf>
    <xf numFmtId="0" fontId="73" fillId="15" borderId="64" applyAlignment="1" pivotButton="0" quotePrefix="0" xfId="3">
      <alignment horizontal="center" vertical="center" shrinkToFit="1"/>
    </xf>
    <xf numFmtId="0" fontId="15" fillId="15" borderId="65" applyAlignment="1" pivotButton="0" quotePrefix="0" xfId="3">
      <alignment horizontal="center" vertical="center" shrinkToFit="1"/>
    </xf>
    <xf numFmtId="0" fontId="12" fillId="15" borderId="51" applyAlignment="1" pivotButton="0" quotePrefix="0" xfId="3">
      <alignment horizontal="center" vertical="center" shrinkToFit="1"/>
    </xf>
    <xf numFmtId="0" fontId="12" fillId="15" borderId="60" applyAlignment="1" pivotButton="0" quotePrefix="0" xfId="3">
      <alignment horizontal="center" vertical="center" shrinkToFit="1"/>
    </xf>
    <xf numFmtId="0" fontId="12" fillId="15" borderId="65" applyAlignment="1" pivotButton="0" quotePrefix="0" xfId="3">
      <alignment horizontal="center" vertical="center" shrinkToFit="1"/>
    </xf>
    <xf numFmtId="0" fontId="73" fillId="15" borderId="58" applyAlignment="1" pivotButton="0" quotePrefix="0" xfId="3">
      <alignment horizontal="center" vertical="center" shrinkToFit="1"/>
    </xf>
    <xf numFmtId="0" fontId="12" fillId="15" borderId="71" applyAlignment="1" pivotButton="0" quotePrefix="0" xfId="3">
      <alignment horizontal="center" vertical="center" shrinkToFit="1"/>
    </xf>
    <xf numFmtId="0" fontId="73" fillId="15" borderId="54" applyAlignment="1" pivotButton="0" quotePrefix="0" xfId="3">
      <alignment horizontal="center" vertical="center" shrinkToFit="1"/>
    </xf>
    <xf numFmtId="0" fontId="12" fillId="2" borderId="46" applyAlignment="1" pivotButton="0" quotePrefix="0" xfId="3">
      <alignment horizontal="center" vertical="center" shrinkToFit="1"/>
    </xf>
    <xf numFmtId="0" fontId="12" fillId="2" borderId="47" applyAlignment="1" pivotButton="0" quotePrefix="0" xfId="3">
      <alignment horizontal="center" vertical="center" shrinkToFit="1"/>
    </xf>
    <xf numFmtId="0" fontId="12" fillId="2" borderId="75" applyAlignment="1" pivotButton="0" quotePrefix="0" xfId="3">
      <alignment horizontal="center" vertical="center" shrinkToFit="1"/>
    </xf>
    <xf numFmtId="0" fontId="12" fillId="2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15" fillId="14" borderId="6" applyAlignment="1" pivotButton="0" quotePrefix="0" xfId="3">
      <alignment horizontal="center" vertical="center" shrinkToFit="1"/>
    </xf>
    <xf numFmtId="0" fontId="81" fillId="0" borderId="0" applyAlignment="1" pivotButton="0" quotePrefix="0" xfId="3">
      <alignment horizontal="center" vertical="center" shrinkToFit="1"/>
    </xf>
    <xf numFmtId="0" fontId="3" fillId="0" borderId="0" applyAlignment="1" pivotButton="0" quotePrefix="0" xfId="3">
      <alignment vertical="center"/>
    </xf>
    <xf numFmtId="0" fontId="75" fillId="0" borderId="10" applyAlignment="1" pivotButton="0" quotePrefix="0" xfId="3">
      <alignment vertical="center" wrapText="1" shrinkToFit="1"/>
    </xf>
    <xf numFmtId="0" fontId="36" fillId="0" borderId="109" applyAlignment="1" pivotButton="0" quotePrefix="0" xfId="3">
      <alignment horizontal="center" vertical="center" shrinkToFit="1"/>
    </xf>
    <xf numFmtId="0" fontId="36" fillId="0" borderId="24" applyAlignment="1" pivotButton="0" quotePrefix="0" xfId="3">
      <alignment horizontal="center" vertical="center" shrinkToFit="1"/>
    </xf>
    <xf numFmtId="0" fontId="79" fillId="0" borderId="6" applyAlignment="1" pivotButton="0" quotePrefix="0" xfId="3">
      <alignment horizontal="center" vertical="center" shrinkToFit="1"/>
    </xf>
    <xf numFmtId="0" fontId="79" fillId="0" borderId="9" applyAlignment="1" pivotButton="0" quotePrefix="0" xfId="3">
      <alignment horizontal="center" vertical="center" shrinkToFit="1"/>
    </xf>
    <xf numFmtId="0" fontId="15" fillId="9" borderId="19" applyAlignment="1" pivotButton="0" quotePrefix="0" xfId="3">
      <alignment vertical="center" shrinkToFit="1"/>
    </xf>
    <xf numFmtId="0" fontId="15" fillId="9" borderId="139" applyAlignment="1" pivotButton="0" quotePrefix="0" xfId="3">
      <alignment vertical="center" shrinkToFit="1"/>
    </xf>
    <xf numFmtId="0" fontId="15" fillId="0" borderId="0" applyAlignment="1" pivotButton="0" quotePrefix="0" xfId="3">
      <alignment horizontal="left" vertical="center"/>
    </xf>
    <xf numFmtId="0" fontId="82" fillId="0" borderId="0" applyAlignment="1" pivotButton="0" quotePrefix="0" xfId="3">
      <alignment horizontal="center" vertical="center" shrinkToFit="1"/>
    </xf>
    <xf numFmtId="0" fontId="82" fillId="0" borderId="0" applyAlignment="1" pivotButton="0" quotePrefix="0" xfId="3">
      <alignment horizontal="left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2" fillId="9" borderId="57" applyAlignment="1" pivotButton="0" quotePrefix="0" xfId="3">
      <alignment horizontal="center" vertical="center" shrinkToFit="1"/>
    </xf>
    <xf numFmtId="0" fontId="12" fillId="0" borderId="14" applyAlignment="1" pivotButton="0" quotePrefix="0" xfId="3">
      <alignment horizontal="center" vertical="center" shrinkToFit="1"/>
    </xf>
    <xf numFmtId="0" fontId="12" fillId="9" borderId="2" applyAlignment="1" pivotButton="0" quotePrefix="0" xfId="3">
      <alignment horizontal="center" vertical="center" shrinkToFit="1"/>
    </xf>
    <xf numFmtId="0" fontId="71" fillId="12" borderId="81" applyAlignment="1" pivotButton="0" quotePrefix="0" xfId="3">
      <alignment horizontal="center" vertical="center" shrinkToFit="1"/>
    </xf>
    <xf numFmtId="0" fontId="12" fillId="2" borderId="140" applyAlignment="1" pivotButton="0" quotePrefix="0" xfId="3">
      <alignment horizontal="center" vertical="center" shrinkToFit="1"/>
    </xf>
    <xf numFmtId="0" fontId="71" fillId="12" borderId="140" applyAlignment="1" pivotButton="0" quotePrefix="1" xfId="3">
      <alignment horizontal="center" vertical="center" shrinkToFit="1"/>
    </xf>
    <xf numFmtId="0" fontId="15" fillId="9" borderId="86" applyAlignment="1" pivotButton="0" quotePrefix="0" xfId="3">
      <alignment horizontal="center" vertical="center" shrinkToFit="1"/>
    </xf>
    <xf numFmtId="0" fontId="71" fillId="0" borderId="0" applyAlignment="1" pivotButton="0" quotePrefix="0" xfId="3">
      <alignment horizontal="center" vertical="center" shrinkToFit="1"/>
    </xf>
    <xf numFmtId="0" fontId="12" fillId="0" borderId="30" applyAlignment="1" pivotButton="0" quotePrefix="0" xfId="3">
      <alignment horizontal="center" vertical="center" shrinkToFit="1"/>
    </xf>
    <xf numFmtId="0" fontId="9" fillId="0" borderId="133" applyAlignment="1" pivotButton="0" quotePrefix="0" xfId="3">
      <alignment vertical="center"/>
    </xf>
    <xf numFmtId="0" fontId="12" fillId="0" borderId="37" applyAlignment="1" pivotButton="0" quotePrefix="0" xfId="3">
      <alignment horizontal="center" vertical="center" shrinkToFit="1"/>
    </xf>
    <xf numFmtId="0" fontId="12" fillId="0" borderId="19" applyAlignment="1" pivotButton="0" quotePrefix="0" xfId="3">
      <alignment horizontal="center" vertical="center" shrinkToFit="1"/>
    </xf>
    <xf numFmtId="0" fontId="12" fillId="0" borderId="139" applyAlignment="1" pivotButton="0" quotePrefix="0" xfId="3">
      <alignment horizontal="center" vertical="center" shrinkToFit="1"/>
    </xf>
    <xf numFmtId="0" fontId="12" fillId="0" borderId="141" applyAlignment="1" pivotButton="0" quotePrefix="0" xfId="3">
      <alignment horizontal="center" vertical="center" shrinkToFit="1"/>
    </xf>
    <xf numFmtId="0" fontId="15" fillId="0" borderId="142" applyAlignment="1" pivotButton="0" quotePrefix="0" xfId="3">
      <alignment horizontal="center" vertical="center" shrinkToFit="1"/>
    </xf>
    <xf numFmtId="0" fontId="15" fillId="0" borderId="133" applyAlignment="1" pivotButton="0" quotePrefix="0" xfId="3">
      <alignment horizontal="center" vertical="center" shrinkToFit="1"/>
    </xf>
    <xf numFmtId="0" fontId="12" fillId="0" borderId="143" applyAlignment="1" pivotButton="0" quotePrefix="0" xfId="3">
      <alignment horizontal="center" vertical="center" shrinkToFit="1"/>
    </xf>
    <xf numFmtId="0" fontId="15" fillId="0" borderId="0" applyAlignment="1" pivotButton="0" quotePrefix="1" xfId="3">
      <alignment horizontal="center" vertical="center" shrinkToFit="1"/>
    </xf>
    <xf numFmtId="0" fontId="15" fillId="0" borderId="144" applyAlignment="1" pivotButton="0" quotePrefix="0" xfId="3">
      <alignment horizontal="center" vertical="center" shrinkToFit="1"/>
    </xf>
    <xf numFmtId="0" fontId="71" fillId="0" borderId="6" applyAlignment="1" pivotButton="0" quotePrefix="0" xfId="3">
      <alignment horizontal="center" vertical="center" shrinkToFit="1"/>
    </xf>
    <xf numFmtId="0" fontId="71" fillId="0" borderId="6" applyAlignment="1" pivotButton="0" quotePrefix="1" xfId="3">
      <alignment horizontal="center" vertical="center" shrinkToFit="1"/>
    </xf>
    <xf numFmtId="0" fontId="15" fillId="0" borderId="6" applyAlignment="1" pivotButton="0" quotePrefix="1" xfId="3">
      <alignment horizontal="center" vertical="center" shrinkToFit="1"/>
    </xf>
    <xf numFmtId="0" fontId="71" fillId="0" borderId="6" applyAlignment="1" pivotButton="0" quotePrefix="0" xfId="3">
      <alignment vertical="center" shrinkToFit="1"/>
    </xf>
    <xf numFmtId="0" fontId="71" fillId="0" borderId="111" applyAlignment="1" pivotButton="0" quotePrefix="0" xfId="3">
      <alignment vertical="center" shrinkToFit="1"/>
    </xf>
    <xf numFmtId="0" fontId="71" fillId="0" borderId="113" applyAlignment="1" pivotButton="0" quotePrefix="0" xfId="3">
      <alignment vertical="center" shrinkToFit="1"/>
    </xf>
    <xf numFmtId="0" fontId="71" fillId="0" borderId="0" applyAlignment="1" pivotButton="0" quotePrefix="0" xfId="3">
      <alignment vertical="center" shrinkToFit="1"/>
    </xf>
    <xf numFmtId="0" fontId="12" fillId="2" borderId="78" applyAlignment="1" pivotButton="0" quotePrefix="0" xfId="3">
      <alignment horizontal="center" vertical="center" shrinkToFit="1"/>
    </xf>
    <xf numFmtId="0" fontId="58" fillId="0" borderId="133" applyAlignment="1" pivotButton="0" quotePrefix="0" xfId="3">
      <alignment vertical="center"/>
    </xf>
    <xf numFmtId="0" fontId="12" fillId="2" borderId="45" applyAlignment="1" pivotButton="0" quotePrefix="0" xfId="3">
      <alignment horizontal="center" vertical="center" shrinkToFit="1"/>
    </xf>
    <xf numFmtId="0" fontId="12" fillId="2" borderId="94" applyAlignment="1" pivotButton="0" quotePrefix="0" xfId="3">
      <alignment horizontal="center" vertical="center" shrinkToFit="1"/>
    </xf>
    <xf numFmtId="0" fontId="12" fillId="2" borderId="63" applyAlignment="1" pivotButton="0" quotePrefix="0" xfId="3">
      <alignment horizontal="center" vertical="center" shrinkToFit="1"/>
    </xf>
    <xf numFmtId="0" fontId="2" fillId="0" borderId="0" applyAlignment="1" pivotButton="0" quotePrefix="0" xfId="3">
      <alignment vertical="center"/>
    </xf>
    <xf numFmtId="0" fontId="36" fillId="0" borderId="0" applyAlignment="1" pivotButton="0" quotePrefix="0" xfId="3">
      <alignment horizontal="left" vertical="center"/>
    </xf>
    <xf numFmtId="0" fontId="66" fillId="0" borderId="6" applyAlignment="1" pivotButton="0" quotePrefix="0" xfId="3">
      <alignment vertical="center" wrapText="1" shrinkToFit="1"/>
    </xf>
    <xf numFmtId="0" fontId="34" fillId="0" borderId="10" applyAlignment="1" pivotButton="0" quotePrefix="0" xfId="3">
      <alignment horizontal="left" vertical="center"/>
    </xf>
    <xf numFmtId="164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0" fontId="86" fillId="0" borderId="0" applyAlignment="1" pivotButton="0" quotePrefix="0" xfId="3">
      <alignment vertical="center"/>
    </xf>
    <xf numFmtId="0" fontId="12" fillId="2" borderId="4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 shrinkToFit="1"/>
    </xf>
    <xf numFmtId="0" fontId="12" fillId="17" borderId="46" applyAlignment="1" pivotButton="0" quotePrefix="0" xfId="3">
      <alignment horizontal="center" vertical="center" shrinkToFit="1"/>
    </xf>
    <xf numFmtId="0" fontId="12" fillId="17" borderId="41" applyAlignment="1" pivotButton="0" quotePrefix="0" xfId="3">
      <alignment horizontal="center" vertical="center" shrinkToFit="1"/>
    </xf>
    <xf numFmtId="0" fontId="12" fillId="17" borderId="93" applyAlignment="1" pivotButton="0" quotePrefix="0" xfId="3">
      <alignment horizontal="center" vertical="center" shrinkToFit="1"/>
    </xf>
    <xf numFmtId="0" fontId="12" fillId="17" borderId="62" applyAlignment="1" pivotButton="0" quotePrefix="0" xfId="3">
      <alignment horizontal="center" vertical="center" shrinkToFit="1"/>
    </xf>
    <xf numFmtId="0" fontId="12" fillId="17" borderId="44" applyAlignment="1" pivotButton="0" quotePrefix="0" xfId="3">
      <alignment horizontal="center" vertical="center" shrinkToFit="1"/>
    </xf>
    <xf numFmtId="0" fontId="12" fillId="17" borderId="60" applyAlignment="1" pivotButton="0" quotePrefix="0" xfId="3">
      <alignment horizontal="center" vertical="center" shrinkToFit="1"/>
    </xf>
    <xf numFmtId="0" fontId="12" fillId="17" borderId="52" applyAlignment="1" pivotButton="0" quotePrefix="0" xfId="3">
      <alignment horizontal="center" vertical="center" shrinkToFit="1"/>
    </xf>
    <xf numFmtId="0" fontId="12" fillId="17" borderId="6" applyAlignment="1" pivotButton="0" quotePrefix="0" xfId="3">
      <alignment horizontal="center" vertical="center" shrinkToFit="1"/>
    </xf>
    <xf numFmtId="0" fontId="12" fillId="17" borderId="51" applyAlignment="1" pivotButton="0" quotePrefix="0" xfId="3">
      <alignment horizontal="center" vertical="center" shrinkToFit="1"/>
    </xf>
    <xf numFmtId="0" fontId="12" fillId="14" borderId="9" applyAlignment="1" pivotButton="0" quotePrefix="0" xfId="3">
      <alignment horizontal="center" vertical="center" shrinkToFit="1"/>
    </xf>
    <xf numFmtId="0" fontId="13" fillId="0" borderId="6" applyAlignment="1" pivotButton="0" quotePrefix="0" xfId="3">
      <alignment horizontal="center" vertical="center" shrinkToFit="1"/>
    </xf>
    <xf numFmtId="0" fontId="13" fillId="14" borderId="6" applyAlignment="1" pivotButton="0" quotePrefix="0" xfId="3">
      <alignment horizontal="center" vertical="center" shrinkToFit="1"/>
    </xf>
    <xf numFmtId="0" fontId="13" fillId="14" borderId="9" applyAlignment="1" pivotButton="0" quotePrefix="0" xfId="3">
      <alignment horizontal="center" vertical="center" shrinkToFit="1"/>
    </xf>
    <xf numFmtId="0" fontId="15" fillId="5" borderId="6" applyAlignment="1" pivotButton="0" quotePrefix="0" xfId="3">
      <alignment horizontal="center" vertical="center" shrinkToFit="1"/>
    </xf>
    <xf numFmtId="0" fontId="73" fillId="12" borderId="79" applyAlignment="1" pivotButton="0" quotePrefix="0" xfId="3">
      <alignment horizontal="center" vertical="center" shrinkToFit="1"/>
    </xf>
    <xf numFmtId="0" fontId="73" fillId="12" borderId="80" applyAlignment="1" pivotButton="0" quotePrefix="0" xfId="3">
      <alignment horizontal="center" vertical="center" shrinkToFit="1"/>
    </xf>
    <xf numFmtId="0" fontId="19" fillId="0" borderId="0" applyAlignment="1" pivotButton="0" quotePrefix="0" xfId="3">
      <alignment vertical="center"/>
    </xf>
    <xf numFmtId="0" fontId="20" fillId="0" borderId="0" applyAlignment="1" pivotButton="0" quotePrefix="0" xfId="3">
      <alignment vertical="center"/>
    </xf>
    <xf numFmtId="0" fontId="72" fillId="7" borderId="64" applyAlignment="1" pivotButton="0" quotePrefix="0" xfId="3">
      <alignment horizontal="center" vertical="center" shrinkToFit="1"/>
    </xf>
    <xf numFmtId="0" fontId="72" fillId="7" borderId="57" applyAlignment="1" pivotButton="0" quotePrefix="0" xfId="3">
      <alignment horizontal="center" vertical="center" shrinkToFit="1"/>
    </xf>
    <xf numFmtId="0" fontId="72" fillId="7" borderId="66" applyAlignment="1" pivotButton="0" quotePrefix="0" xfId="3">
      <alignment horizontal="center" vertical="center" shrinkToFit="1"/>
    </xf>
    <xf numFmtId="0" fontId="74" fillId="0" borderId="18" applyAlignment="1" pivotButton="0" quotePrefix="0" xfId="3">
      <alignment horizontal="right" vertical="center" shrinkToFit="1"/>
    </xf>
    <xf numFmtId="0" fontId="22" fillId="0" borderId="0" applyAlignment="1" pivotButton="0" quotePrefix="0" xfId="3">
      <alignment horizontal="center" vertical="center" shrinkToFit="1"/>
    </xf>
    <xf numFmtId="0" fontId="72" fillId="7" borderId="111" applyAlignment="1" pivotButton="0" quotePrefix="0" xfId="3">
      <alignment horizontal="center" vertical="center" shrinkToFit="1"/>
    </xf>
    <xf numFmtId="0" fontId="72" fillId="7" borderId="112" applyAlignment="1" pivotButton="0" quotePrefix="0" xfId="3">
      <alignment horizontal="center" vertical="center" shrinkToFit="1"/>
    </xf>
    <xf numFmtId="0" fontId="72" fillId="7" borderId="113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73" fillId="12" borderId="123" applyAlignment="1" pivotButton="0" quotePrefix="0" xfId="3">
      <alignment horizontal="center" vertical="center" shrinkToFit="1"/>
    </xf>
    <xf numFmtId="0" fontId="73" fillId="12" borderId="53" applyAlignment="1" pivotButton="0" quotePrefix="0" xfId="3">
      <alignment horizontal="center" vertical="center" shrinkToFit="1"/>
    </xf>
    <xf numFmtId="0" fontId="31" fillId="0" borderId="0" applyAlignment="1" pivotButton="0" quotePrefix="0" xfId="3">
      <alignment vertical="center" shrinkToFit="1"/>
    </xf>
    <xf numFmtId="0" fontId="15" fillId="5" borderId="9" applyAlignment="1" pivotButton="0" quotePrefix="0" xfId="3">
      <alignment horizontal="center" vertical="center" shrinkToFit="1"/>
    </xf>
    <xf numFmtId="0" fontId="15" fillId="0" borderId="18" applyAlignment="1" pivotButton="0" quotePrefix="0" xfId="3">
      <alignment horizontal="left" vertical="center" shrinkToFit="1"/>
    </xf>
    <xf numFmtId="0" fontId="36" fillId="0" borderId="32" applyAlignment="1" pivotButton="0" quotePrefix="0" xfId="3">
      <alignment horizontal="center" vertical="center" shrinkToFit="1"/>
    </xf>
    <xf numFmtId="0" fontId="36" fillId="0" borderId="37" applyAlignment="1" pivotButton="0" quotePrefix="0" xfId="3">
      <alignment horizontal="center" vertical="center" shrinkToFit="1"/>
    </xf>
    <xf numFmtId="0" fontId="12" fillId="0" borderId="117" applyAlignment="1" pivotButton="0" quotePrefix="0" xfId="3">
      <alignment horizontal="center" vertical="center" shrinkToFit="1"/>
    </xf>
    <xf numFmtId="0" fontId="15" fillId="0" borderId="14" applyAlignment="1" pivotButton="0" quotePrefix="0" xfId="3">
      <alignment horizontal="left" vertical="center"/>
    </xf>
    <xf numFmtId="0" fontId="24" fillId="12" borderId="6" applyAlignment="1" pivotButton="0" quotePrefix="0" xfId="3">
      <alignment horizontal="center" vertical="center" wrapText="1" shrinkToFit="1"/>
    </xf>
    <xf numFmtId="0" fontId="24" fillId="12" borderId="6" applyAlignment="1" pivotButton="0" quotePrefix="0" xfId="3">
      <alignment horizontal="center" vertical="center" shrinkToFit="1"/>
    </xf>
    <xf numFmtId="0" fontId="70" fillId="0" borderId="0" applyAlignment="1" pivotButton="0" quotePrefix="0" xfId="3">
      <alignment horizontal="left" vertical="center" shrinkToFit="1"/>
    </xf>
    <xf numFmtId="0" fontId="15" fillId="0" borderId="31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36" fillId="0" borderId="31" applyAlignment="1" pivotButton="0" quotePrefix="0" xfId="3">
      <alignment horizontal="center" vertical="center" shrinkToFit="1"/>
    </xf>
    <xf numFmtId="0" fontId="36" fillId="0" borderId="3" applyAlignment="1" pivotButton="0" quotePrefix="0" xfId="3">
      <alignment horizontal="center" vertical="center" shrinkToFit="1"/>
    </xf>
    <xf numFmtId="0" fontId="36" fillId="0" borderId="108" applyAlignment="1" pivotButton="0" quotePrefix="0" xfId="3">
      <alignment horizontal="center" vertical="center" shrinkToFit="1"/>
    </xf>
    <xf numFmtId="0" fontId="36" fillId="0" borderId="16" applyAlignment="1" pivotButton="0" quotePrefix="0" xfId="3">
      <alignment horizontal="center" vertical="center" shrinkToFit="1"/>
    </xf>
    <xf numFmtId="0" fontId="25" fillId="0" borderId="1" applyAlignment="1" pivotButton="0" quotePrefix="0" xfId="3">
      <alignment horizontal="center" vertical="center" textRotation="255" shrinkToFit="1"/>
    </xf>
    <xf numFmtId="0" fontId="25" fillId="0" borderId="2" applyAlignment="1" pivotButton="0" quotePrefix="0" xfId="3">
      <alignment horizontal="center" vertical="center" textRotation="255" shrinkToFit="1"/>
    </xf>
    <xf numFmtId="0" fontId="25" fillId="0" borderId="3" applyAlignment="1" pivotButton="0" quotePrefix="0" xfId="3">
      <alignment horizontal="center" vertical="center" textRotation="255" shrinkToFit="1"/>
    </xf>
    <xf numFmtId="0" fontId="65" fillId="0" borderId="10" applyAlignment="1" pivotButton="0" quotePrefix="0" xfId="3">
      <alignment horizontal="left" vertical="center" shrinkToFit="1"/>
    </xf>
    <xf numFmtId="0" fontId="65" fillId="0" borderId="0" applyAlignment="1" pivotButton="0" quotePrefix="0" xfId="3">
      <alignment horizontal="left" vertical="center" shrinkToFit="1"/>
    </xf>
    <xf numFmtId="0" fontId="65" fillId="0" borderId="14" applyAlignment="1" pivotButton="0" quotePrefix="0" xfId="3">
      <alignment horizontal="left" vertical="center" shrinkToFit="1"/>
    </xf>
    <xf numFmtId="0" fontId="34" fillId="0" borderId="10" applyAlignment="1" pivotButton="0" quotePrefix="0" xfId="3">
      <alignment horizontal="left" vertical="center" shrinkToFit="1"/>
    </xf>
    <xf numFmtId="0" fontId="34" fillId="0" borderId="0" applyAlignment="1" pivotButton="0" quotePrefix="0" xfId="3">
      <alignment horizontal="left" vertical="center" shrinkToFit="1"/>
    </xf>
    <xf numFmtId="0" fontId="36" fillId="0" borderId="29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/>
    </xf>
    <xf numFmtId="0" fontId="15" fillId="0" borderId="1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wrapText="1" shrinkToFit="1"/>
    </xf>
    <xf numFmtId="0" fontId="36" fillId="0" borderId="3" applyAlignment="1" pivotButton="0" quotePrefix="0" xfId="3">
      <alignment horizontal="center" vertical="center" wrapText="1" shrinkToFit="1"/>
    </xf>
    <xf numFmtId="0" fontId="15" fillId="0" borderId="2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wrapText="1" shrinkToFit="1"/>
    </xf>
    <xf numFmtId="0" fontId="36" fillId="0" borderId="11" applyAlignment="1" pivotButton="0" quotePrefix="0" xfId="3">
      <alignment horizontal="center" vertical="center" wrapText="1" shrinkToFit="1"/>
    </xf>
    <xf numFmtId="0" fontId="36" fillId="0" borderId="30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wrapText="1" shrinkToFit="1"/>
    </xf>
    <xf numFmtId="0" fontId="80" fillId="6" borderId="2" applyAlignment="1" pivotButton="0" quotePrefix="0" xfId="3">
      <alignment horizontal="center" vertical="center" shrinkToFit="1"/>
    </xf>
    <xf numFmtId="0" fontId="80" fillId="6" borderId="3" applyAlignment="1" pivotButton="0" quotePrefix="0" xfId="3">
      <alignment horizontal="center" vertical="center" shrinkToFit="1"/>
    </xf>
    <xf numFmtId="0" fontId="75" fillId="0" borderId="0" applyAlignment="1" pivotButton="0" quotePrefix="0" xfId="3">
      <alignment horizontal="left" vertical="center" wrapText="1" shrinkToFit="1"/>
    </xf>
    <xf numFmtId="0" fontId="79" fillId="4" borderId="1" applyAlignment="1" pivotButton="0" quotePrefix="0" xfId="3">
      <alignment horizontal="center" vertical="center" wrapText="1" shrinkToFit="1"/>
    </xf>
    <xf numFmtId="0" fontId="79" fillId="4" borderId="2" applyAlignment="1" pivotButton="0" quotePrefix="0" xfId="3">
      <alignment horizontal="center" vertical="center" shrinkToFit="1"/>
    </xf>
    <xf numFmtId="0" fontId="79" fillId="4" borderId="3" applyAlignment="1" pivotButton="0" quotePrefix="0" xfId="3">
      <alignment horizontal="center" vertical="center" shrinkToFit="1"/>
    </xf>
    <xf numFmtId="0" fontId="76" fillId="6" borderId="1" applyAlignment="1" pivotButton="0" quotePrefix="0" xfId="3">
      <alignment horizontal="center" vertical="center" wrapText="1" shrinkToFit="1"/>
    </xf>
    <xf numFmtId="0" fontId="37" fillId="6" borderId="2" applyAlignment="1" pivotButton="0" quotePrefix="0" xfId="3">
      <alignment horizontal="center" vertical="center" shrinkToFit="1"/>
    </xf>
    <xf numFmtId="0" fontId="37" fillId="6" borderId="3" applyAlignment="1" pivotButton="0" quotePrefix="0" xfId="3">
      <alignment horizontal="center" vertical="center" shrinkToFit="1"/>
    </xf>
    <xf numFmtId="0" fontId="76" fillId="0" borderId="1" applyAlignment="1" pivotButton="0" quotePrefix="0" xfId="3">
      <alignment horizontal="center" vertical="center" wrapText="1" shrinkToFit="1"/>
    </xf>
    <xf numFmtId="0" fontId="37" fillId="0" borderId="2" applyAlignment="1" pivotButton="0" quotePrefix="0" xfId="3">
      <alignment horizontal="center" vertical="center" shrinkToFit="1"/>
    </xf>
    <xf numFmtId="0" fontId="37" fillId="0" borderId="3" applyAlignment="1" pivotButton="0" quotePrefix="0" xfId="3">
      <alignment horizontal="center" vertical="center" shrinkToFit="1"/>
    </xf>
    <xf numFmtId="0" fontId="80" fillId="6" borderId="2" applyAlignment="1" pivotButton="0" quotePrefix="0" xfId="3">
      <alignment horizontal="center" vertical="center" wrapText="1" shrinkToFit="1"/>
    </xf>
    <xf numFmtId="0" fontId="80" fillId="6" borderId="3" applyAlignment="1" pivotButton="0" quotePrefix="0" xfId="3">
      <alignment horizontal="center" vertical="center" wrapText="1" shrinkToFit="1"/>
    </xf>
    <xf numFmtId="0" fontId="84" fillId="14" borderId="1" applyAlignment="1" pivotButton="0" quotePrefix="0" xfId="3">
      <alignment horizontal="center" vertical="center" wrapText="1" shrinkToFit="1"/>
    </xf>
    <xf numFmtId="0" fontId="84" fillId="14" borderId="2" applyAlignment="1" pivotButton="0" quotePrefix="0" xfId="3">
      <alignment horizontal="center" vertical="center" wrapText="1" shrinkToFit="1"/>
    </xf>
    <xf numFmtId="0" fontId="84" fillId="14" borderId="3" applyAlignment="1" pivotButton="0" quotePrefix="0" xfId="3">
      <alignment horizontal="center" vertical="center" wrapText="1" shrinkToFit="1"/>
    </xf>
    <xf numFmtId="0" fontId="30" fillId="14" borderId="1" applyAlignment="1" pivotButton="0" quotePrefix="0" xfId="3">
      <alignment horizontal="center" vertical="center" shrinkToFit="1"/>
    </xf>
    <xf numFmtId="0" fontId="30" fillId="14" borderId="2" applyAlignment="1" pivotButton="0" quotePrefix="0" xfId="3">
      <alignment horizontal="center" vertical="center" shrinkToFit="1"/>
    </xf>
    <xf numFmtId="0" fontId="30" fillId="14" borderId="3" applyAlignment="1" pivotButton="0" quotePrefix="0" xfId="3">
      <alignment horizontal="center" vertical="center" shrinkToFit="1"/>
    </xf>
    <xf numFmtId="0" fontId="83" fillId="0" borderId="1" applyAlignment="1" pivotButton="0" quotePrefix="0" xfId="3">
      <alignment horizontal="center" vertical="center" shrinkToFit="1"/>
    </xf>
    <xf numFmtId="0" fontId="83" fillId="0" borderId="2" applyAlignment="1" pivotButton="0" quotePrefix="0" xfId="3">
      <alignment horizontal="center" vertical="center" shrinkToFit="1"/>
    </xf>
    <xf numFmtId="0" fontId="83" fillId="0" borderId="3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14" fontId="32" fillId="0" borderId="0" applyAlignment="1" pivotButton="0" quotePrefix="0" xfId="3">
      <alignment horizontal="center" vertical="center" shrinkToFit="1"/>
    </xf>
    <xf numFmtId="0" fontId="80" fillId="0" borderId="1" applyAlignment="1" pivotButton="0" quotePrefix="0" xfId="3">
      <alignment horizontal="center" vertical="center" shrinkToFit="1"/>
    </xf>
    <xf numFmtId="0" fontId="80" fillId="0" borderId="2" applyAlignment="1" pivotButton="0" quotePrefix="0" xfId="3">
      <alignment horizontal="center" vertical="center" shrinkToFit="1"/>
    </xf>
    <xf numFmtId="0" fontId="80" fillId="0" borderId="3" applyAlignment="1" pivotButton="0" quotePrefix="0" xfId="3">
      <alignment horizontal="center" vertical="center" shrinkToFit="1"/>
    </xf>
    <xf numFmtId="0" fontId="84" fillId="6" borderId="1" applyAlignment="1" pivotButton="0" quotePrefix="0" xfId="3">
      <alignment horizontal="center" vertical="center" wrapText="1" shrinkToFit="1"/>
    </xf>
    <xf numFmtId="0" fontId="84" fillId="6" borderId="2" applyAlignment="1" pivotButton="0" quotePrefix="0" xfId="3">
      <alignment horizontal="center" vertical="center" wrapText="1" shrinkToFit="1"/>
    </xf>
    <xf numFmtId="0" fontId="84" fillId="6" borderId="3" applyAlignment="1" pivotButton="0" quotePrefix="0" xfId="3">
      <alignment horizontal="center" vertical="center" wrapText="1" shrinkToFit="1"/>
    </xf>
    <xf numFmtId="0" fontId="21" fillId="0" borderId="0" applyAlignment="1" pivotButton="0" quotePrefix="0" xfId="3">
      <alignment vertical="center"/>
    </xf>
    <xf numFmtId="0" fontId="36" fillId="0" borderId="1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shrinkToFit="1"/>
    </xf>
    <xf numFmtId="0" fontId="84" fillId="0" borderId="1" applyAlignment="1" pivotButton="0" quotePrefix="0" xfId="3">
      <alignment horizontal="center" vertical="center" wrapText="1" shrinkToFit="1"/>
    </xf>
    <xf numFmtId="0" fontId="84" fillId="0" borderId="2" applyAlignment="1" pivotButton="0" quotePrefix="0" xfId="3">
      <alignment horizontal="center" vertical="center" wrapText="1" shrinkToFit="1"/>
    </xf>
    <xf numFmtId="0" fontId="84" fillId="0" borderId="3" applyAlignment="1" pivotButton="0" quotePrefix="0" xfId="3">
      <alignment horizontal="center" vertical="center" wrapText="1" shrinkToFit="1"/>
    </xf>
    <xf numFmtId="0" fontId="77" fillId="14" borderId="1" applyAlignment="1" pivotButton="0" quotePrefix="0" xfId="3">
      <alignment horizontal="center" vertical="center" wrapText="1" shrinkToFit="1"/>
    </xf>
    <xf numFmtId="0" fontId="77" fillId="14" borderId="2" applyAlignment="1" pivotButton="0" quotePrefix="0" xfId="3">
      <alignment horizontal="center" vertical="center" wrapText="1" shrinkToFit="1"/>
    </xf>
    <xf numFmtId="0" fontId="77" fillId="14" borderId="3" applyAlignment="1" pivotButton="0" quotePrefix="0" xfId="3">
      <alignment horizontal="center" vertical="center" wrapText="1" shrinkToFit="1"/>
    </xf>
    <xf numFmtId="0" fontId="12" fillId="0" borderId="123" applyAlignment="1" pivotButton="0" quotePrefix="0" xfId="3">
      <alignment horizontal="center" vertical="center" shrinkToFit="1"/>
    </xf>
    <xf numFmtId="0" fontId="12" fillId="0" borderId="53" applyAlignment="1" pivotButton="0" quotePrefix="0" xfId="3">
      <alignment horizontal="center" vertical="center" shrinkToFit="1"/>
    </xf>
    <xf numFmtId="0" fontId="15" fillId="7" borderId="64" applyAlignment="1" pivotButton="0" quotePrefix="0" xfId="3">
      <alignment horizontal="center" vertical="center" shrinkToFit="1"/>
    </xf>
    <xf numFmtId="0" fontId="15" fillId="7" borderId="57" applyAlignment="1" pivotButton="0" quotePrefix="0" xfId="3">
      <alignment horizontal="center" vertical="center" shrinkToFit="1"/>
    </xf>
    <xf numFmtId="0" fontId="15" fillId="7" borderId="134" applyAlignment="1" pivotButton="0" quotePrefix="0" xfId="3">
      <alignment horizontal="center" vertical="center" shrinkToFit="1"/>
    </xf>
    <xf numFmtId="0" fontId="15" fillId="7" borderId="66" applyAlignment="1" pivotButton="0" quotePrefix="0" xfId="3">
      <alignment horizontal="center" vertical="center" shrinkToFit="1"/>
    </xf>
    <xf numFmtId="0" fontId="12" fillId="0" borderId="79" applyAlignment="1" pivotButton="0" quotePrefix="0" xfId="3">
      <alignment horizontal="center" vertical="center" shrinkToFit="1"/>
    </xf>
    <xf numFmtId="0" fontId="12" fillId="0" borderId="80" applyAlignment="1" pivotButton="0" quotePrefix="0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7" borderId="111" applyAlignment="1" pivotButton="0" quotePrefix="0" xfId="3">
      <alignment horizontal="center" vertical="center" shrinkToFit="1"/>
    </xf>
    <xf numFmtId="0" fontId="15" fillId="7" borderId="112" applyAlignment="1" pivotButton="0" quotePrefix="0" xfId="3">
      <alignment horizontal="center" vertical="center" shrinkToFit="1"/>
    </xf>
    <xf numFmtId="0" fontId="15" fillId="7" borderId="113" applyAlignment="1" pivotButton="0" quotePrefix="0" xfId="3">
      <alignment horizontal="center" vertical="center" shrinkToFit="1"/>
    </xf>
    <xf numFmtId="0" fontId="51" fillId="0" borderId="32" applyAlignment="1" pivotButton="0" quotePrefix="0" xfId="3">
      <alignment horizontal="center" vertical="center" shrinkToFit="1"/>
    </xf>
    <xf numFmtId="0" fontId="51" fillId="0" borderId="37" applyAlignment="1" pivotButton="0" quotePrefix="0" xfId="3">
      <alignment horizontal="center" vertical="center" shrinkToFit="1"/>
    </xf>
    <xf numFmtId="0" fontId="33" fillId="0" borderId="7" applyAlignment="1" pivotButton="0" quotePrefix="0" xfId="3">
      <alignment horizontal="left" vertical="center" shrinkToFit="1"/>
    </xf>
    <xf numFmtId="0" fontId="33" fillId="0" borderId="4" applyAlignment="1" pivotButton="0" quotePrefix="0" xfId="3">
      <alignment horizontal="left" vertical="center" shrinkToFit="1"/>
    </xf>
    <xf numFmtId="0" fontId="34" fillId="2" borderId="10" applyAlignment="1" pivotButton="0" quotePrefix="0" xfId="3">
      <alignment horizontal="left" vertical="center" shrinkToFit="1"/>
    </xf>
    <xf numFmtId="0" fontId="34" fillId="2" borderId="0" applyAlignment="1" pivotButton="0" quotePrefix="0" xfId="3">
      <alignment horizontal="left" vertical="center" shrinkToFit="1"/>
    </xf>
    <xf numFmtId="0" fontId="34" fillId="2" borderId="14" applyAlignment="1" pivotButton="0" quotePrefix="0" xfId="3">
      <alignment horizontal="left" vertical="center" shrinkToFit="1"/>
    </xf>
    <xf numFmtId="0" fontId="12" fillId="0" borderId="31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08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wrapText="1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shrinkToFit="1"/>
    </xf>
    <xf numFmtId="0" fontId="15" fillId="0" borderId="29" applyAlignment="1" pivotButton="0" quotePrefix="0" xfId="3">
      <alignment horizontal="center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35" applyAlignment="1" pivotButton="0" quotePrefix="0" xfId="3">
      <alignment horizontal="center" vertical="center" shrinkToFit="1"/>
    </xf>
    <xf numFmtId="0" fontId="51" fillId="0" borderId="30" applyAlignment="1" pivotButton="0" quotePrefix="0" xfId="3">
      <alignment horizontal="center" vertical="center" shrinkToFit="1"/>
    </xf>
    <xf numFmtId="0" fontId="21" fillId="2" borderId="0" applyAlignment="1" pivotButton="0" quotePrefix="0" xfId="3">
      <alignment vertical="center"/>
    </xf>
    <xf numFmtId="0" fontId="51" fillId="0" borderId="108" applyAlignment="1" pivotButton="0" quotePrefix="0" xfId="3">
      <alignment horizontal="center" vertical="center" shrinkToFit="1"/>
    </xf>
    <xf numFmtId="0" fontId="51" fillId="0" borderId="16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3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wrapText="1" shrinkToFit="1"/>
    </xf>
    <xf numFmtId="0" fontId="15" fillId="2" borderId="3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37" fillId="0" borderId="7" applyAlignment="1" pivotButton="0" quotePrefix="0" xfId="3">
      <alignment horizontal="left" vertical="top" wrapText="1" shrinkToFit="1"/>
    </xf>
    <xf numFmtId="0" fontId="37" fillId="0" borderId="4" applyAlignment="1" pivotButton="0" quotePrefix="0" xfId="3">
      <alignment horizontal="left" vertical="top" wrapText="1" shrinkToFit="1"/>
    </xf>
    <xf numFmtId="0" fontId="37" fillId="0" borderId="8" applyAlignment="1" pivotButton="0" quotePrefix="0" xfId="3">
      <alignment horizontal="left" vertical="top" wrapText="1" shrinkToFit="1"/>
    </xf>
    <xf numFmtId="0" fontId="37" fillId="0" borderId="10" applyAlignment="1" pivotButton="0" quotePrefix="0" xfId="3">
      <alignment horizontal="left" vertical="top" wrapText="1" shrinkToFit="1"/>
    </xf>
    <xf numFmtId="0" fontId="37" fillId="0" borderId="0" applyAlignment="1" pivotButton="0" quotePrefix="0" xfId="3">
      <alignment horizontal="left" vertical="top" wrapText="1" shrinkToFit="1"/>
    </xf>
    <xf numFmtId="0" fontId="37" fillId="0" borderId="14" applyAlignment="1" pivotButton="0" quotePrefix="0" xfId="3">
      <alignment horizontal="left" vertical="top" wrapText="1" shrinkToFit="1"/>
    </xf>
    <xf numFmtId="0" fontId="37" fillId="0" borderId="11" applyAlignment="1" pivotButton="0" quotePrefix="0" xfId="3">
      <alignment horizontal="left" vertical="top" wrapText="1" shrinkToFit="1"/>
    </xf>
    <xf numFmtId="0" fontId="37" fillId="0" borderId="12" applyAlignment="1" pivotButton="0" quotePrefix="0" xfId="3">
      <alignment horizontal="left" vertical="top" wrapText="1" shrinkToFit="1"/>
    </xf>
    <xf numFmtId="0" fontId="37" fillId="0" borderId="13" applyAlignment="1" pivotButton="0" quotePrefix="0" xfId="3">
      <alignment horizontal="left" vertical="top" wrapText="1" shrinkToFit="1"/>
    </xf>
    <xf numFmtId="0" fontId="23" fillId="0" borderId="0" applyAlignment="1" pivotButton="0" quotePrefix="0" xfId="3">
      <alignment horizontal="right" vertical="center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15" fillId="0" borderId="6" applyAlignment="1" pivotButton="0" quotePrefix="0" xfId="3">
      <alignment horizontal="center" vertical="center" wrapText="1" shrinkToFit="1"/>
    </xf>
    <xf numFmtId="0" fontId="24" fillId="0" borderId="7" applyAlignment="1" pivotButton="0" quotePrefix="0" xfId="3">
      <alignment horizontal="left" vertical="center" wrapText="1" shrinkToFit="1"/>
    </xf>
    <xf numFmtId="0" fontId="24" fillId="0" borderId="4" applyAlignment="1" pivotButton="0" quotePrefix="0" xfId="3">
      <alignment horizontal="left" vertical="center" wrapText="1" shrinkToFit="1"/>
    </xf>
    <xf numFmtId="0" fontId="24" fillId="0" borderId="8" applyAlignment="1" pivotButton="0" quotePrefix="0" xfId="3">
      <alignment horizontal="left" vertical="center" wrapText="1" shrinkToFit="1"/>
    </xf>
    <xf numFmtId="0" fontId="24" fillId="0" borderId="10" applyAlignment="1" pivotButton="0" quotePrefix="0" xfId="3">
      <alignment horizontal="left" vertical="center" wrapText="1" shrinkToFit="1"/>
    </xf>
    <xf numFmtId="0" fontId="24" fillId="0" borderId="0" applyAlignment="1" pivotButton="0" quotePrefix="0" xfId="3">
      <alignment horizontal="left" vertical="center" wrapText="1" shrinkToFit="1"/>
    </xf>
    <xf numFmtId="0" fontId="24" fillId="0" borderId="14" applyAlignment="1" pivotButton="0" quotePrefix="0" xfId="3">
      <alignment horizontal="left" vertical="center" wrapText="1" shrinkToFit="1"/>
    </xf>
    <xf numFmtId="0" fontId="24" fillId="0" borderId="11" applyAlignment="1" pivotButton="0" quotePrefix="0" xfId="3">
      <alignment horizontal="left" vertical="center" wrapText="1" shrinkToFit="1"/>
    </xf>
    <xf numFmtId="0" fontId="24" fillId="0" borderId="12" applyAlignment="1" pivotButton="0" quotePrefix="0" xfId="3">
      <alignment horizontal="left" vertical="center" wrapText="1" shrinkToFit="1"/>
    </xf>
    <xf numFmtId="0" fontId="24" fillId="0" borderId="13" applyAlignment="1" pivotButton="0" quotePrefix="0" xfId="3">
      <alignment horizontal="left" vertical="center" wrapText="1" shrinkToFit="1"/>
    </xf>
    <xf numFmtId="0" fontId="31" fillId="0" borderId="0" applyAlignment="1" pivotButton="0" quotePrefix="0" xfId="5">
      <alignment vertical="center" shrinkToFit="1"/>
    </xf>
    <xf numFmtId="0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5" fillId="5" borderId="52" applyAlignment="1" pivotButton="0" quotePrefix="0" xfId="5">
      <alignment horizontal="center" vertical="center" shrinkToFit="1"/>
    </xf>
    <xf numFmtId="0" fontId="15" fillId="5" borderId="51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2" fillId="12" borderId="79" applyAlignment="1" pivotButton="0" quotePrefix="0" xfId="5">
      <alignment horizontal="center" vertical="center" shrinkToFit="1"/>
    </xf>
    <xf numFmtId="0" fontId="12" fillId="12" borderId="80" applyAlignment="1" pivotButton="0" quotePrefix="0" xfId="5">
      <alignment horizontal="center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7" borderId="111" applyAlignment="1" pivotButton="0" quotePrefix="0" xfId="5">
      <alignment horizontal="center" vertical="center" shrinkToFit="1"/>
    </xf>
    <xf numFmtId="0" fontId="15" fillId="7" borderId="112" applyAlignment="1" pivotButton="0" quotePrefix="0" xfId="5">
      <alignment horizontal="center" vertical="center" shrinkToFit="1"/>
    </xf>
    <xf numFmtId="0" fontId="15" fillId="7" borderId="113" applyAlignment="1" pivotButton="0" quotePrefix="0" xfId="5">
      <alignment horizontal="center" vertical="center" shrinkToFit="1"/>
    </xf>
    <xf numFmtId="0" fontId="12" fillId="12" borderId="123" applyAlignment="1" pivotButton="0" quotePrefix="0" xfId="5">
      <alignment horizontal="center" vertical="center" shrinkToFit="1"/>
    </xf>
    <xf numFmtId="0" fontId="12" fillId="12" borderId="53" applyAlignment="1" pivotButton="0" quotePrefix="0" xfId="5">
      <alignment horizontal="center" vertical="center" shrinkToFit="1"/>
    </xf>
    <xf numFmtId="0" fontId="19" fillId="0" borderId="0" applyAlignment="1" pivotButton="0" quotePrefix="0" xfId="5">
      <alignment vertical="center"/>
    </xf>
    <xf numFmtId="0" fontId="20" fillId="0" borderId="0" applyAlignment="1" pivotButton="0" quotePrefix="0" xfId="5">
      <alignment vertical="center"/>
    </xf>
    <xf numFmtId="0" fontId="15" fillId="7" borderId="64" applyAlignment="1" pivotButton="0" quotePrefix="0" xfId="5">
      <alignment horizontal="center" vertical="center" shrinkToFit="1"/>
    </xf>
    <xf numFmtId="0" fontId="15" fillId="7" borderId="57" applyAlignment="1" pivotButton="0" quotePrefix="0" xfId="5">
      <alignment horizontal="center" vertical="center" shrinkToFit="1"/>
    </xf>
    <xf numFmtId="0" fontId="15" fillId="7" borderId="66" applyAlignment="1" pivotButton="0" quotePrefix="0" xfId="5">
      <alignment horizontal="center" vertical="center" shrinkToFit="1"/>
    </xf>
    <xf numFmtId="0" fontId="36" fillId="0" borderId="32" applyAlignment="1" pivotButton="0" quotePrefix="0" xfId="5">
      <alignment horizontal="center" vertical="center" shrinkToFit="1"/>
    </xf>
    <xf numFmtId="0" fontId="36" fillId="0" borderId="37" applyAlignment="1" pivotButton="0" quotePrefix="0" xfId="5">
      <alignment horizontal="center" vertical="center" shrinkToFit="1"/>
    </xf>
    <xf numFmtId="0" fontId="24" fillId="12" borderId="6" applyAlignment="1" pivotButton="0" quotePrefix="0" xfId="5">
      <alignment horizontal="center" vertical="center" wrapText="1" shrinkToFit="1"/>
    </xf>
    <xf numFmtId="0" fontId="24" fillId="12" borderId="6" applyAlignment="1" pivotButton="0" quotePrefix="0" xfId="5">
      <alignment horizontal="center" vertical="center" shrinkToFit="1"/>
    </xf>
    <xf numFmtId="0" fontId="25" fillId="0" borderId="1" applyAlignment="1" pivotButton="0" quotePrefix="0" xfId="5">
      <alignment horizontal="center" vertical="center" textRotation="255" shrinkToFit="1"/>
    </xf>
    <xf numFmtId="0" fontId="25" fillId="0" borderId="2" applyAlignment="1" pivotButton="0" quotePrefix="0" xfId="5">
      <alignment horizontal="center" vertical="center" textRotation="255" shrinkToFit="1"/>
    </xf>
    <xf numFmtId="0" fontId="25" fillId="0" borderId="3" applyAlignment="1" pivotButton="0" quotePrefix="0" xfId="5">
      <alignment horizontal="center" vertical="center" textRotation="255" shrinkToFit="1"/>
    </xf>
    <xf numFmtId="0" fontId="65" fillId="0" borderId="10" applyAlignment="1" pivotButton="0" quotePrefix="0" xfId="5">
      <alignment horizontal="left" vertical="center" shrinkToFit="1"/>
    </xf>
    <xf numFmtId="0" fontId="65" fillId="0" borderId="0" applyAlignment="1" pivotButton="0" quotePrefix="0" xfId="5">
      <alignment horizontal="left" vertical="center" shrinkToFit="1"/>
    </xf>
    <xf numFmtId="0" fontId="65" fillId="0" borderId="14" applyAlignment="1" pivotButton="0" quotePrefix="0" xfId="5">
      <alignment horizontal="left" vertical="center" shrinkToFit="1"/>
    </xf>
    <xf numFmtId="0" fontId="64" fillId="0" borderId="10" applyAlignment="1" pivotButton="0" quotePrefix="0" xfId="5">
      <alignment horizontal="left" vertical="center" shrinkToFit="1"/>
    </xf>
    <xf numFmtId="0" fontId="64" fillId="0" borderId="0" applyAlignment="1" pivotButton="0" quotePrefix="0" xfId="5">
      <alignment horizontal="left" vertical="center" shrinkToFit="1"/>
    </xf>
    <xf numFmtId="0" fontId="15" fillId="0" borderId="31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36" fillId="0" borderId="31" applyAlignment="1" pivotButton="0" quotePrefix="0" xfId="5">
      <alignment horizontal="center" vertical="center" shrinkToFit="1"/>
    </xf>
    <xf numFmtId="0" fontId="36" fillId="0" borderId="3" applyAlignment="1" pivotButton="0" quotePrefix="0" xfId="5">
      <alignment horizontal="center" vertical="center" shrinkToFit="1"/>
    </xf>
    <xf numFmtId="0" fontId="12" fillId="0" borderId="108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wrapText="1" shrinkToFit="1"/>
    </xf>
    <xf numFmtId="0" fontId="12" fillId="0" borderId="2" applyAlignment="1" pivotButton="0" quotePrefix="0" xfId="5">
      <alignment horizontal="center" vertical="center" shrinkToFit="1"/>
    </xf>
    <xf numFmtId="0" fontId="12" fillId="0" borderId="7" applyAlignment="1" pivotButton="0" quotePrefix="0" xfId="5">
      <alignment horizontal="center" vertical="center" wrapText="1" shrinkToFit="1"/>
    </xf>
    <xf numFmtId="0" fontId="12" fillId="0" borderId="10" applyAlignment="1" pivotButton="0" quotePrefix="0" xfId="5">
      <alignment horizontal="center" vertical="center" shrinkToFit="1"/>
    </xf>
    <xf numFmtId="0" fontId="12" fillId="0" borderId="29" applyAlignment="1" pivotButton="0" quotePrefix="0" xfId="5">
      <alignment horizontal="center" vertical="center" shrinkToFit="1"/>
    </xf>
    <xf numFmtId="0" fontId="12" fillId="0" borderId="37" applyAlignment="1" pivotButton="0" quotePrefix="0" xfId="5">
      <alignment horizontal="center" vertical="center" shrinkToFit="1"/>
    </xf>
    <xf numFmtId="0" fontId="15" fillId="0" borderId="34" applyAlignment="1" pivotButton="0" quotePrefix="0" xfId="5">
      <alignment horizontal="center" vertical="center" shrinkToFit="1"/>
    </xf>
    <xf numFmtId="0" fontId="12" fillId="0" borderId="34" applyAlignment="1" pivotButton="0" quotePrefix="0" xfId="5">
      <alignment horizontal="center" vertical="center" shrinkToFit="1"/>
    </xf>
    <xf numFmtId="0" fontId="12" fillId="0" borderId="67" applyAlignment="1" pivotButton="0" quotePrefix="0" xfId="5">
      <alignment horizontal="center" vertical="center" shrinkToFit="1"/>
    </xf>
    <xf numFmtId="0" fontId="12" fillId="0" borderId="35" applyAlignment="1" pivotButton="0" quotePrefix="0" xfId="5">
      <alignment horizontal="center" vertical="center" shrinkToFit="1"/>
    </xf>
    <xf numFmtId="0" fontId="36" fillId="0" borderId="108" applyAlignment="1" pivotButton="0" quotePrefix="0" xfId="5">
      <alignment horizontal="center" vertical="center" shrinkToFit="1"/>
    </xf>
    <xf numFmtId="0" fontId="36" fillId="0" borderId="16" applyAlignment="1" pivotButton="0" quotePrefix="0" xfId="5">
      <alignment horizontal="center" vertical="center" shrinkToFit="1"/>
    </xf>
    <xf numFmtId="0" fontId="36" fillId="0" borderId="30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shrinkToFit="1"/>
    </xf>
    <xf numFmtId="0" fontId="36" fillId="0" borderId="1" applyAlignment="1" pivotButton="0" quotePrefix="0" xfId="5">
      <alignment horizontal="center" vertical="center" shrinkToFit="1"/>
    </xf>
    <xf numFmtId="0" fontId="36" fillId="0" borderId="7" applyAlignment="1" pivotButton="0" quotePrefix="0" xfId="5">
      <alignment horizontal="center" vertical="center" shrinkToFit="1"/>
    </xf>
    <xf numFmtId="0" fontId="36" fillId="0" borderId="11" applyAlignment="1" pivotButton="0" quotePrefix="0" xfId="5">
      <alignment horizontal="center" vertical="center" shrinkToFit="1"/>
    </xf>
    <xf numFmtId="0" fontId="36" fillId="0" borderId="29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wrapText="1" shrinkToFit="1"/>
    </xf>
    <xf numFmtId="0" fontId="15" fillId="0" borderId="2" applyAlignment="1" pivotButton="0" quotePrefix="0" xfId="5">
      <alignment horizontal="center" vertical="center" wrapText="1" shrinkToFit="1"/>
    </xf>
    <xf numFmtId="0" fontId="15" fillId="0" borderId="3" applyAlignment="1" pivotButton="0" quotePrefix="0" xfId="5">
      <alignment horizontal="center" vertical="center" wrapText="1" shrinkToFit="1"/>
    </xf>
    <xf numFmtId="0" fontId="15" fillId="0" borderId="7" applyAlignment="1" pivotButton="0" quotePrefix="0" xfId="5">
      <alignment horizontal="center" vertical="center" wrapText="1" shrinkToFit="1"/>
    </xf>
    <xf numFmtId="0" fontId="15" fillId="0" borderId="8" applyAlignment="1" pivotButton="0" quotePrefix="0" xfId="5">
      <alignment horizontal="center" vertical="center" wrapText="1" shrinkToFit="1"/>
    </xf>
    <xf numFmtId="0" fontId="15" fillId="0" borderId="10" applyAlignment="1" pivotButton="0" quotePrefix="0" xfId="5">
      <alignment horizontal="center" vertical="center" wrapText="1" shrinkToFit="1"/>
    </xf>
    <xf numFmtId="0" fontId="15" fillId="0" borderId="14" applyAlignment="1" pivotButton="0" quotePrefix="0" xfId="5">
      <alignment horizontal="center" vertical="center" wrapText="1" shrinkToFit="1"/>
    </xf>
    <xf numFmtId="0" fontId="15" fillId="0" borderId="11" applyAlignment="1" pivotButton="0" quotePrefix="0" xfId="5">
      <alignment horizontal="center" vertical="center" wrapText="1" shrinkToFit="1"/>
    </xf>
    <xf numFmtId="0" fontId="15" fillId="0" borderId="13" applyAlignment="1" pivotButton="0" quotePrefix="0" xfId="5">
      <alignment horizontal="center" vertical="center" wrapText="1" shrinkToFit="1"/>
    </xf>
    <xf numFmtId="0" fontId="37" fillId="0" borderId="7" applyAlignment="1" pivotButton="0" quotePrefix="0" xfId="5">
      <alignment horizontal="left" vertical="top" wrapText="1" shrinkToFit="1"/>
    </xf>
    <xf numFmtId="0" fontId="37" fillId="0" borderId="4" applyAlignment="1" pivotButton="0" quotePrefix="0" xfId="5">
      <alignment horizontal="left" vertical="top" wrapText="1" shrinkToFit="1"/>
    </xf>
    <xf numFmtId="0" fontId="37" fillId="0" borderId="8" applyAlignment="1" pivotButton="0" quotePrefix="0" xfId="5">
      <alignment horizontal="left" vertical="top" wrapText="1" shrinkToFit="1"/>
    </xf>
    <xf numFmtId="0" fontId="37" fillId="0" borderId="10" applyAlignment="1" pivotButton="0" quotePrefix="0" xfId="5">
      <alignment horizontal="left" vertical="top" wrapText="1" shrinkToFit="1"/>
    </xf>
    <xf numFmtId="0" fontId="37" fillId="0" borderId="0" applyAlignment="1" pivotButton="0" quotePrefix="0" xfId="5">
      <alignment horizontal="left" vertical="top" wrapText="1" shrinkToFit="1"/>
    </xf>
    <xf numFmtId="0" fontId="37" fillId="0" borderId="14" applyAlignment="1" pivotButton="0" quotePrefix="0" xfId="5">
      <alignment horizontal="left" vertical="top" wrapText="1" shrinkToFit="1"/>
    </xf>
    <xf numFmtId="0" fontId="37" fillId="0" borderId="11" applyAlignment="1" pivotButton="0" quotePrefix="0" xfId="5">
      <alignment horizontal="left" vertical="top" wrapText="1" shrinkToFit="1"/>
    </xf>
    <xf numFmtId="0" fontId="37" fillId="0" borderId="12" applyAlignment="1" pivotButton="0" quotePrefix="0" xfId="5">
      <alignment horizontal="left" vertical="top" wrapText="1" shrinkToFit="1"/>
    </xf>
    <xf numFmtId="0" fontId="37" fillId="0" borderId="13" applyAlignment="1" pivotButton="0" quotePrefix="0" xfId="5">
      <alignment horizontal="left" vertical="top" wrapText="1" shrinkToFit="1"/>
    </xf>
    <xf numFmtId="0" fontId="23" fillId="0" borderId="0" applyAlignment="1" pivotButton="0" quotePrefix="0" xfId="5">
      <alignment horizontal="right" vertical="center"/>
    </xf>
    <xf numFmtId="0" fontId="21" fillId="2" borderId="0" applyAlignment="1" pivotButton="0" quotePrefix="0" xfId="5">
      <alignment vertical="center"/>
    </xf>
    <xf numFmtId="0" fontId="66" fillId="0" borderId="6" applyAlignment="1" pivotButton="0" quotePrefix="0" xfId="5">
      <alignment horizontal="center" vertical="center" wrapText="1" shrinkToFit="1"/>
    </xf>
    <xf numFmtId="0" fontId="24" fillId="0" borderId="7" applyAlignment="1" pivotButton="0" quotePrefix="0" xfId="5">
      <alignment horizontal="left" vertical="center" wrapText="1" shrinkToFit="1"/>
    </xf>
    <xf numFmtId="0" fontId="24" fillId="0" borderId="4" applyAlignment="1" pivotButton="0" quotePrefix="0" xfId="5">
      <alignment horizontal="left" vertical="center" wrapText="1" shrinkToFit="1"/>
    </xf>
    <xf numFmtId="0" fontId="24" fillId="0" borderId="8" applyAlignment="1" pivotButton="0" quotePrefix="0" xfId="5">
      <alignment horizontal="left" vertical="center" wrapText="1" shrinkToFit="1"/>
    </xf>
    <xf numFmtId="0" fontId="24" fillId="0" borderId="10" applyAlignment="1" pivotButton="0" quotePrefix="0" xfId="5">
      <alignment horizontal="left" vertical="center" wrapText="1" shrinkToFit="1"/>
    </xf>
    <xf numFmtId="0" fontId="24" fillId="0" borderId="0" applyAlignment="1" pivotButton="0" quotePrefix="0" xfId="5">
      <alignment horizontal="left" vertical="center" wrapText="1" shrinkToFit="1"/>
    </xf>
    <xf numFmtId="0" fontId="24" fillId="0" borderId="14" applyAlignment="1" pivotButton="0" quotePrefix="0" xfId="5">
      <alignment horizontal="left" vertical="center" wrapText="1" shrinkToFit="1"/>
    </xf>
    <xf numFmtId="0" fontId="24" fillId="0" borderId="11" applyAlignment="1" pivotButton="0" quotePrefix="0" xfId="5">
      <alignment horizontal="left" vertical="center" wrapText="1" shrinkToFit="1"/>
    </xf>
    <xf numFmtId="0" fontId="24" fillId="0" borderId="12" applyAlignment="1" pivotButton="0" quotePrefix="0" xfId="5">
      <alignment horizontal="left" vertical="center" wrapText="1" shrinkToFit="1"/>
    </xf>
    <xf numFmtId="0" fontId="24" fillId="0" borderId="13" applyAlignment="1" pivotButton="0" quotePrefix="0" xfId="5">
      <alignment horizontal="left" vertical="center" wrapText="1" shrinkToFit="1"/>
    </xf>
    <xf numFmtId="0" fontId="17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14" fontId="32" fillId="0" borderId="0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horizontal="center" vertical="center" shrinkToFit="1"/>
    </xf>
    <xf numFmtId="0" fontId="15" fillId="2" borderId="2" applyAlignment="1" pivotButton="0" quotePrefix="0" xfId="5">
      <alignment horizontal="center" vertical="center" shrinkToFit="1"/>
    </xf>
    <xf numFmtId="0" fontId="15" fillId="2" borderId="3" applyAlignment="1" pivotButton="0" quotePrefix="0" xfId="5">
      <alignment horizontal="center" vertical="center" shrinkToFit="1"/>
    </xf>
    <xf numFmtId="0" fontId="12" fillId="0" borderId="79" applyAlignment="1" pivotButton="0" quotePrefix="0" xfId="4">
      <alignment horizontal="center" vertical="center" shrinkToFit="1"/>
    </xf>
    <xf numFmtId="0" fontId="12" fillId="0" borderId="80" applyAlignment="1" pivotButton="0" quotePrefix="0" xfId="4">
      <alignment horizontal="center" vertical="center" shrinkToFit="1"/>
    </xf>
    <xf numFmtId="0" fontId="15" fillId="0" borderId="79" applyAlignment="1" pivotButton="0" quotePrefix="0" xfId="4">
      <alignment horizontal="center" vertical="center" shrinkToFit="1"/>
    </xf>
    <xf numFmtId="0" fontId="15" fillId="0" borderId="80" applyAlignment="1" pivotButton="0" quotePrefix="0" xfId="4">
      <alignment horizontal="center" vertical="center" shrinkToFit="1"/>
    </xf>
    <xf numFmtId="0" fontId="31" fillId="0" borderId="0" applyAlignment="1" pivotButton="0" quotePrefix="0" xfId="4">
      <alignment vertical="center" shrinkToFit="1"/>
    </xf>
    <xf numFmtId="0" fontId="15" fillId="5" borderId="6" applyAlignment="1" pivotButton="0" quotePrefix="0" xfId="4">
      <alignment horizontal="center" vertical="center" shrinkToFit="1"/>
    </xf>
    <xf numFmtId="0" fontId="15" fillId="5" borderId="9" applyAlignment="1" pivotButton="0" quotePrefix="0" xfId="4">
      <alignment horizontal="center" vertical="center" shrinkToFit="1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9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15" fillId="7" borderId="64" applyAlignment="1" pivotButton="0" quotePrefix="0" xfId="4">
      <alignment horizontal="center" vertical="center" shrinkToFit="1"/>
    </xf>
    <xf numFmtId="0" fontId="15" fillId="7" borderId="57" applyAlignment="1" pivotButton="0" quotePrefix="0" xfId="4">
      <alignment horizontal="center" vertical="center" shrinkToFit="1"/>
    </xf>
    <xf numFmtId="0" fontId="15" fillId="7" borderId="66" applyAlignment="1" pivotButton="0" quotePrefix="0" xfId="4">
      <alignment horizontal="center" vertical="center" shrinkToFit="1"/>
    </xf>
    <xf numFmtId="0" fontId="44" fillId="0" borderId="18" applyAlignment="1" pivotButton="0" quotePrefix="0" xfId="4">
      <alignment horizontal="center" vertical="center" shrinkToFit="1"/>
    </xf>
    <xf numFmtId="0" fontId="15" fillId="7" borderId="111" applyAlignment="1" pivotButton="0" quotePrefix="0" xfId="4">
      <alignment horizontal="center" vertical="center" shrinkToFit="1"/>
    </xf>
    <xf numFmtId="0" fontId="15" fillId="7" borderId="112" applyAlignment="1" pivotButton="0" quotePrefix="0" xfId="4">
      <alignment horizontal="center" vertical="center" shrinkToFit="1"/>
    </xf>
    <xf numFmtId="0" fontId="15" fillId="7" borderId="113" applyAlignment="1" pivotButton="0" quotePrefix="0" xfId="4">
      <alignment horizontal="center" vertical="center" shrinkToFit="1"/>
    </xf>
    <xf numFmtId="0" fontId="24" fillId="2" borderId="6" applyAlignment="1" pivotButton="0" quotePrefix="0" xfId="4">
      <alignment horizontal="center" vertical="center" wrapText="1" shrinkToFit="1"/>
    </xf>
    <xf numFmtId="0" fontId="24" fillId="2" borderId="6" applyAlignment="1" pivotButton="0" quotePrefix="0" xfId="4">
      <alignment horizontal="center" vertical="center" shrinkToFit="1"/>
    </xf>
    <xf numFmtId="0" fontId="25" fillId="0" borderId="1" applyAlignment="1" pivotButton="0" quotePrefix="0" xfId="4">
      <alignment horizontal="center" vertical="center" textRotation="255" shrinkToFit="1"/>
    </xf>
    <xf numFmtId="0" fontId="25" fillId="0" borderId="2" applyAlignment="1" pivotButton="0" quotePrefix="0" xfId="4">
      <alignment horizontal="center" vertical="center" textRotation="255" shrinkToFit="1"/>
    </xf>
    <xf numFmtId="0" fontId="25" fillId="0" borderId="3" applyAlignment="1" pivotButton="0" quotePrefix="0" xfId="4">
      <alignment horizontal="center" vertical="center" textRotation="255" shrinkToFit="1"/>
    </xf>
    <xf numFmtId="0" fontId="33" fillId="0" borderId="7" applyAlignment="1" pivotButton="0" quotePrefix="0" xfId="4">
      <alignment horizontal="left" vertical="center" shrinkToFit="1"/>
    </xf>
    <xf numFmtId="0" fontId="33" fillId="0" borderId="4" applyAlignment="1" pivotButton="0" quotePrefix="0" xfId="4">
      <alignment horizontal="left" vertical="center" shrinkToFit="1"/>
    </xf>
    <xf numFmtId="0" fontId="34" fillId="0" borderId="10" applyAlignment="1" pivotButton="0" quotePrefix="0" xfId="4">
      <alignment horizontal="left" vertical="center" shrinkToFit="1"/>
    </xf>
    <xf numFmtId="0" fontId="34" fillId="0" borderId="0" applyAlignment="1" pivotButton="0" quotePrefix="0" xfId="4">
      <alignment horizontal="left" vertical="center" shrinkToFit="1"/>
    </xf>
    <xf numFmtId="0" fontId="34" fillId="0" borderId="14" applyAlignment="1" pivotButton="0" quotePrefix="0" xfId="4">
      <alignment horizontal="left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51" fillId="0" borderId="31" applyAlignment="1" pivotButton="0" quotePrefix="0" xfId="4">
      <alignment horizontal="center" vertical="center" shrinkToFit="1"/>
    </xf>
    <xf numFmtId="0" fontId="51" fillId="0" borderId="3" applyAlignment="1" pivotButton="0" quotePrefix="0" xfId="4">
      <alignment horizontal="center" vertical="center" shrinkToFit="1"/>
    </xf>
    <xf numFmtId="0" fontId="12" fillId="0" borderId="108" applyAlignment="1" pivotButton="0" quotePrefix="0" xfId="4">
      <alignment horizontal="center" vertical="center" shrinkToFit="1"/>
    </xf>
    <xf numFmtId="0" fontId="12" fillId="0" borderId="16" applyAlignment="1" pivotButton="0" quotePrefix="0" xfId="4">
      <alignment horizontal="center" vertical="center" shrinkToFit="1"/>
    </xf>
    <xf numFmtId="0" fontId="51" fillId="0" borderId="32" applyAlignment="1" pivotButton="0" quotePrefix="0" xfId="4">
      <alignment horizontal="center" vertical="center" shrinkToFit="1"/>
    </xf>
    <xf numFmtId="0" fontId="51" fillId="0" borderId="37" applyAlignment="1" pivotButton="0" quotePrefix="0" xfId="4">
      <alignment horizontal="center" vertical="center" shrinkToFit="1"/>
    </xf>
    <xf numFmtId="0" fontId="15" fillId="0" borderId="29" applyAlignment="1" pivotButton="0" quotePrefix="0" xfId="4">
      <alignment horizontal="center" vertical="center" shrinkToFit="1"/>
    </xf>
    <xf numFmtId="0" fontId="15" fillId="0" borderId="37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0" fontId="15" fillId="0" borderId="7" applyAlignment="1" pivotButton="0" quotePrefix="0" xfId="4">
      <alignment horizontal="center" vertical="center" wrapText="1" shrinkToFit="1"/>
    </xf>
    <xf numFmtId="0" fontId="15" fillId="0" borderId="67" applyAlignment="1" pivotButton="0" quotePrefix="0" xfId="4">
      <alignment horizontal="center" vertical="center" shrinkToFit="1"/>
    </xf>
    <xf numFmtId="0" fontId="15" fillId="0" borderId="35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shrinkToFit="1"/>
    </xf>
    <xf numFmtId="0" fontId="15" fillId="0" borderId="10" applyAlignment="1" pivotButton="0" quotePrefix="0" xfId="4">
      <alignment horizontal="center" vertical="center" shrinkToFit="1"/>
    </xf>
    <xf numFmtId="0" fontId="51" fillId="0" borderId="30" applyAlignment="1" pivotButton="0" quotePrefix="0" xfId="4">
      <alignment horizontal="center" vertical="center" shrinkToFit="1"/>
    </xf>
    <xf numFmtId="0" fontId="6" fillId="0" borderId="4" applyAlignment="1" pivotButton="0" quotePrefix="0" xfId="4">
      <alignment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0" borderId="3" applyAlignment="1" pivotButton="0" quotePrefix="0" xfId="4">
      <alignment horizontal="center" vertical="center" shrinkToFit="1"/>
    </xf>
    <xf numFmtId="0" fontId="36" fillId="0" borderId="1" applyAlignment="1" pivotButton="0" quotePrefix="0" xfId="4">
      <alignment horizontal="center" vertical="center" shrinkToFit="1"/>
    </xf>
    <xf numFmtId="0" fontId="36" fillId="0" borderId="3" applyAlignment="1" pivotButton="0" quotePrefix="0" xfId="4">
      <alignment horizontal="center" vertical="center" shrinkToFit="1"/>
    </xf>
    <xf numFmtId="0" fontId="36" fillId="0" borderId="7" applyAlignment="1" pivotButton="0" quotePrefix="0" xfId="4">
      <alignment horizontal="center" vertical="center" shrinkToFit="1"/>
    </xf>
    <xf numFmtId="0" fontId="36" fillId="0" borderId="11" applyAlignment="1" pivotButton="0" quotePrefix="0" xfId="4">
      <alignment horizontal="center" vertical="center" shrinkToFit="1"/>
    </xf>
    <xf numFmtId="0" fontId="36" fillId="0" borderId="29" applyAlignment="1" pivotButton="0" quotePrefix="0" xfId="4">
      <alignment horizontal="center" vertical="center" shrinkToFit="1"/>
    </xf>
    <xf numFmtId="0" fontId="36" fillId="0" borderId="30" applyAlignment="1" pivotButton="0" quotePrefix="0" xfId="4">
      <alignment horizontal="center" vertical="center" shrinkToFit="1"/>
    </xf>
    <xf numFmtId="0" fontId="51" fillId="0" borderId="108" applyAlignment="1" pivotButton="0" quotePrefix="0" xfId="4">
      <alignment horizontal="center" vertical="center" shrinkToFit="1"/>
    </xf>
    <xf numFmtId="0" fontId="51" fillId="0" borderId="16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wrapText="1" shrinkToFit="1"/>
    </xf>
    <xf numFmtId="0" fontId="15" fillId="0" borderId="4" applyAlignment="1" pivotButton="0" quotePrefix="0" xfId="4">
      <alignment horizontal="left" vertical="center" wrapText="1" shrinkToFit="1"/>
    </xf>
    <xf numFmtId="0" fontId="15" fillId="0" borderId="4" applyAlignment="1" pivotButton="0" quotePrefix="0" xfId="4">
      <alignment horizontal="left" vertical="center" shrinkToFit="1"/>
    </xf>
    <xf numFmtId="0" fontId="15" fillId="0" borderId="8" applyAlignment="1" pivotButton="0" quotePrefix="0" xfId="4">
      <alignment horizontal="left" vertical="center" shrinkToFit="1"/>
    </xf>
    <xf numFmtId="0" fontId="15" fillId="0" borderId="0" applyAlignment="1" pivotButton="0" quotePrefix="0" xfId="4">
      <alignment horizontal="left" vertical="center" shrinkToFit="1"/>
    </xf>
    <xf numFmtId="0" fontId="15" fillId="0" borderId="14" applyAlignment="1" pivotButton="0" quotePrefix="0" xfId="4">
      <alignment horizontal="left" vertical="center" shrinkToFit="1"/>
    </xf>
    <xf numFmtId="0" fontId="15" fillId="0" borderId="12" applyAlignment="1" pivotButton="0" quotePrefix="0" xfId="4">
      <alignment horizontal="left" vertical="center" shrinkToFit="1"/>
    </xf>
    <xf numFmtId="0" fontId="15" fillId="0" borderId="13" applyAlignment="1" pivotButton="0" quotePrefix="0" xfId="4">
      <alignment horizontal="left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15" fillId="0" borderId="8" applyAlignment="1" pivotButton="0" quotePrefix="0" xfId="4">
      <alignment horizontal="center" vertical="center" wrapText="1" shrinkToFit="1"/>
    </xf>
    <xf numFmtId="0" fontId="15" fillId="0" borderId="10" applyAlignment="1" pivotButton="0" quotePrefix="0" xfId="4">
      <alignment horizontal="center" vertical="center" wrapText="1" shrinkToFit="1"/>
    </xf>
    <xf numFmtId="0" fontId="15" fillId="0" borderId="14" applyAlignment="1" pivotButton="0" quotePrefix="0" xfId="4">
      <alignment horizontal="center" vertical="center" wrapText="1" shrinkToFit="1"/>
    </xf>
    <xf numFmtId="0" fontId="15" fillId="0" borderId="11" applyAlignment="1" pivotButton="0" quotePrefix="0" xfId="4">
      <alignment horizontal="center" vertical="center" wrapText="1" shrinkToFit="1"/>
    </xf>
    <xf numFmtId="0" fontId="15" fillId="0" borderId="13" applyAlignment="1" pivotButton="0" quotePrefix="0" xfId="4">
      <alignment horizontal="center" vertical="center" wrapText="1" shrinkToFit="1"/>
    </xf>
    <xf numFmtId="0" fontId="37" fillId="0" borderId="7" applyAlignment="1" pivotButton="0" quotePrefix="0" xfId="4">
      <alignment horizontal="left" vertical="top" wrapText="1" shrinkToFit="1"/>
    </xf>
    <xf numFmtId="0" fontId="37" fillId="0" borderId="4" applyAlignment="1" pivotButton="0" quotePrefix="0" xfId="4">
      <alignment horizontal="left" vertical="top" wrapText="1" shrinkToFit="1"/>
    </xf>
    <xf numFmtId="0" fontId="37" fillId="0" borderId="8" applyAlignment="1" pivotButton="0" quotePrefix="0" xfId="4">
      <alignment horizontal="left" vertical="top" wrapText="1" shrinkToFit="1"/>
    </xf>
    <xf numFmtId="0" fontId="37" fillId="0" borderId="10" applyAlignment="1" pivotButton="0" quotePrefix="0" xfId="4">
      <alignment horizontal="left" vertical="top" wrapText="1" shrinkToFit="1"/>
    </xf>
    <xf numFmtId="0" fontId="37" fillId="0" borderId="0" applyAlignment="1" pivotButton="0" quotePrefix="0" xfId="4">
      <alignment horizontal="left" vertical="top" wrapText="1" shrinkToFit="1"/>
    </xf>
    <xf numFmtId="0" fontId="37" fillId="0" borderId="14" applyAlignment="1" pivotButton="0" quotePrefix="0" xfId="4">
      <alignment horizontal="left" vertical="top" wrapText="1" shrinkToFit="1"/>
    </xf>
    <xf numFmtId="0" fontId="37" fillId="0" borderId="11" applyAlignment="1" pivotButton="0" quotePrefix="0" xfId="4">
      <alignment horizontal="left" vertical="top" wrapText="1" shrinkToFit="1"/>
    </xf>
    <xf numFmtId="0" fontId="37" fillId="0" borderId="12" applyAlignment="1" pivotButton="0" quotePrefix="0" xfId="4">
      <alignment horizontal="left" vertical="top" wrapText="1" shrinkToFit="1"/>
    </xf>
    <xf numFmtId="0" fontId="37" fillId="0" borderId="13" applyAlignment="1" pivotButton="0" quotePrefix="0" xfId="4">
      <alignment horizontal="left" vertical="top" wrapText="1" shrinkToFit="1"/>
    </xf>
    <xf numFmtId="0" fontId="17" fillId="0" borderId="0" applyAlignment="1" pivotButton="0" quotePrefix="0" xfId="4">
      <alignment horizontal="center" vertical="center"/>
    </xf>
    <xf numFmtId="0" fontId="19" fillId="0" borderId="0" applyAlignment="1" pivotButton="0" quotePrefix="0" xfId="4">
      <alignment horizontal="center" vertical="center"/>
    </xf>
    <xf numFmtId="0" fontId="20" fillId="0" borderId="0" applyAlignment="1" pivotButton="0" quotePrefix="0" xfId="4">
      <alignment horizontal="center" vertical="center"/>
    </xf>
    <xf numFmtId="14" fontId="32" fillId="0" borderId="0" applyAlignment="1" pivotButton="0" quotePrefix="0" xfId="4">
      <alignment horizontal="center" vertical="center" shrinkToFit="1"/>
    </xf>
    <xf numFmtId="0" fontId="15" fillId="0" borderId="57" applyAlignment="1" pivotButton="0" quotePrefix="0" xfId="3">
      <alignment horizontal="center" vertical="center" shrinkToFit="1"/>
    </xf>
    <xf numFmtId="0" fontId="15" fillId="0" borderId="66" applyAlignment="1" pivotButton="0" quotePrefix="0" xfId="3">
      <alignment horizontal="center" vertical="center" shrinkToFit="1"/>
    </xf>
    <xf numFmtId="0" fontId="0" fillId="0" borderId="0" pivotButton="0" quotePrefix="0" xfId="0"/>
    <xf numFmtId="164" fontId="15" fillId="5" borderId="6" applyAlignment="1" pivotButton="0" quotePrefix="0" xfId="3">
      <alignment horizontal="center" vertical="center" shrinkToFit="1"/>
    </xf>
    <xf numFmtId="164" fontId="79" fillId="16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80" fillId="0" borderId="6" applyAlignment="1" pivotButton="0" quotePrefix="0" xfId="3">
      <alignment horizontal="center" vertical="center" shrinkToFit="1"/>
    </xf>
    <xf numFmtId="0" fontId="80" fillId="6" borderId="6" applyAlignment="1" pivotButton="0" quotePrefix="0" xfId="3">
      <alignment horizontal="center" vertical="center" wrapText="1" shrinkToFit="1"/>
    </xf>
    <xf numFmtId="0" fontId="84" fillId="6" borderId="6" applyAlignment="1" pivotButton="0" quotePrefix="0" xfId="3">
      <alignment horizontal="center" vertical="center" wrapText="1" shrinkToFit="1"/>
    </xf>
    <xf numFmtId="0" fontId="30" fillId="14" borderId="6" applyAlignment="1" pivotButton="0" quotePrefix="0" xfId="3">
      <alignment horizontal="center" vertical="center" shrinkToFit="1"/>
    </xf>
    <xf numFmtId="0" fontId="84" fillId="14" borderId="6" applyAlignment="1" pivotButton="0" quotePrefix="0" xfId="3">
      <alignment horizontal="center" vertical="center" wrapText="1" shrinkToFit="1"/>
    </xf>
    <xf numFmtId="0" fontId="0" fillId="0" borderId="2" pivotButton="0" quotePrefix="0" xfId="0"/>
    <xf numFmtId="0" fontId="0" fillId="0" borderId="3" pivotButton="0" quotePrefix="0" xfId="0"/>
    <xf numFmtId="166" fontId="13" fillId="5" borderId="6" applyAlignment="1" pivotButton="0" quotePrefix="0" xfId="3">
      <alignment horizontal="center" vertical="center" shrinkToFit="1"/>
    </xf>
    <xf numFmtId="0" fontId="79" fillId="4" borderId="6" applyAlignment="1" pivotButton="0" quotePrefix="0" xfId="3">
      <alignment horizontal="center" vertical="center" wrapText="1" shrinkToFit="1"/>
    </xf>
    <xf numFmtId="0" fontId="76" fillId="6" borderId="6" applyAlignment="1" pivotButton="0" quotePrefix="0" xfId="3">
      <alignment horizontal="center" vertical="center" wrapText="1" shrinkToFit="1"/>
    </xf>
    <xf numFmtId="0" fontId="76" fillId="0" borderId="6" applyAlignment="1" pivotButton="0" quotePrefix="0" xfId="3">
      <alignment horizontal="center" vertical="center" wrapText="1" shrinkToFit="1"/>
    </xf>
    <xf numFmtId="0" fontId="83" fillId="0" borderId="6" applyAlignment="1" pivotButton="0" quotePrefix="0" xfId="3">
      <alignment horizontal="center" vertical="center" shrinkToFit="1"/>
    </xf>
    <xf numFmtId="0" fontId="36" fillId="0" borderId="9" applyAlignment="1" pivotButton="0" quotePrefix="0" xfId="3">
      <alignment horizontal="center" vertical="center" shrinkToFit="1"/>
    </xf>
    <xf numFmtId="0" fontId="36" fillId="0" borderId="142" applyAlignment="1" pivotButton="0" quotePrefix="0" xfId="3">
      <alignment horizontal="center" vertical="center" shrinkToFit="1"/>
    </xf>
    <xf numFmtId="0" fontId="0" fillId="0" borderId="11" pivotButton="0" quotePrefix="0" xfId="0"/>
    <xf numFmtId="0" fontId="0" fillId="0" borderId="30" pivotButton="0" quotePrefix="0" xfId="0"/>
    <xf numFmtId="0" fontId="36" fillId="0" borderId="145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wrapText="1" shrinkToFit="1"/>
    </xf>
    <xf numFmtId="0" fontId="36" fillId="0" borderId="9" applyAlignment="1" pivotButton="0" quotePrefix="0" xfId="3">
      <alignment horizontal="center" vertical="center" wrapText="1" shrinkToFit="1"/>
    </xf>
    <xf numFmtId="0" fontId="0" fillId="0" borderId="16" pivotButton="0" quotePrefix="0" xfId="0"/>
    <xf numFmtId="0" fontId="0" fillId="0" borderId="117" pivotButton="0" quotePrefix="0" xfId="0"/>
    <xf numFmtId="0" fontId="0" fillId="0" borderId="14" pivotButton="0" quotePrefix="0" xfId="0"/>
    <xf numFmtId="0" fontId="0" fillId="0" borderId="34" pivotButton="0" quotePrefix="0" xfId="0"/>
    <xf numFmtId="0" fontId="36" fillId="0" borderId="139" applyAlignment="1" pivotButton="0" quotePrefix="0" xfId="3">
      <alignment horizontal="center" vertical="center" shrinkToFit="1"/>
    </xf>
    <xf numFmtId="0" fontId="36" fillId="0" borderId="146" applyAlignment="1" pivotButton="0" quotePrefix="0" xfId="3">
      <alignment horizontal="center" vertical="center" shrinkToFit="1"/>
    </xf>
    <xf numFmtId="0" fontId="0" fillId="0" borderId="37" pivotButton="0" quotePrefix="0" xfId="0"/>
    <xf numFmtId="0" fontId="25" fillId="0" borderId="6" applyAlignment="1" pivotButton="0" quotePrefix="0" xfId="3">
      <alignment horizontal="center" vertical="center" textRotation="255" shrinkToFit="1"/>
    </xf>
    <xf numFmtId="0" fontId="65" fillId="0" borderId="2" applyAlignment="1" pivotButton="0" quotePrefix="0" xfId="3">
      <alignment horizontal="left" vertical="center" shrinkToFit="1"/>
    </xf>
    <xf numFmtId="0" fontId="0" fillId="0" borderId="5" pivotButton="0" quotePrefix="0" xfId="0"/>
    <xf numFmtId="165" fontId="6" fillId="0" borderId="0" applyAlignment="1" pivotButton="0" quotePrefix="0" xfId="3">
      <alignment vertical="center" shrinkToFit="1"/>
    </xf>
    <xf numFmtId="0" fontId="0" fillId="0" borderId="112" pivotButton="0" quotePrefix="0" xfId="0"/>
    <xf numFmtId="0" fontId="0" fillId="0" borderId="56" pivotButton="0" quotePrefix="0" xfId="0"/>
    <xf numFmtId="0" fontId="73" fillId="12" borderId="148" applyAlignment="1" pivotButton="0" quotePrefix="0" xfId="3">
      <alignment horizontal="center" vertical="center" shrinkToFit="1"/>
    </xf>
    <xf numFmtId="0" fontId="0" fillId="0" borderId="80" pivotButton="0" quotePrefix="0" xfId="0"/>
    <xf numFmtId="0" fontId="0" fillId="0" borderId="18" pivotButton="0" quotePrefix="0" xfId="0"/>
    <xf numFmtId="0" fontId="72" fillId="7" borderId="143" applyAlignment="1" pivotButton="0" quotePrefix="0" xfId="3">
      <alignment horizontal="center" vertical="center" shrinkToFit="1"/>
    </xf>
    <xf numFmtId="0" fontId="0" fillId="0" borderId="113" pivotButton="0" quotePrefix="0" xfId="0"/>
    <xf numFmtId="0" fontId="0" fillId="0" borderId="53" pivotButton="0" quotePrefix="0" xfId="0"/>
    <xf numFmtId="0" fontId="0" fillId="0" borderId="15" pivotButton="0" quotePrefix="0" xfId="0"/>
    <xf numFmtId="0" fontId="80" fillId="6" borderId="6" applyAlignment="1" pivotButton="0" quotePrefix="0" xfId="3">
      <alignment horizontal="center" vertical="center" shrinkToFit="1"/>
    </xf>
    <xf numFmtId="0" fontId="77" fillId="14" borderId="6" applyAlignment="1" pivotButton="0" quotePrefix="0" xfId="3">
      <alignment horizontal="center" vertical="center" wrapText="1" shrinkToFit="1"/>
    </xf>
    <xf numFmtId="0" fontId="84" fillId="0" borderId="6" applyAlignment="1" pivotButton="0" quotePrefix="0" xfId="3">
      <alignment horizontal="center" vertical="center" wrapText="1" shrinkToFit="1"/>
    </xf>
    <xf numFmtId="0" fontId="0" fillId="0" borderId="4" pivotButton="0" quotePrefix="0" xfId="0"/>
    <xf numFmtId="0" fontId="0" fillId="0" borderId="8" pivotButton="0" quotePrefix="0" xfId="0"/>
    <xf numFmtId="0" fontId="24" fillId="0" borderId="6" applyAlignment="1" pivotButton="0" quotePrefix="0" xfId="3">
      <alignment horizontal="left" vertical="center" wrapText="1" shrinkToFit="1"/>
    </xf>
    <xf numFmtId="0" fontId="0" fillId="0" borderId="10" pivotButton="0" quotePrefix="0" xfId="0"/>
    <xf numFmtId="0" fontId="15" fillId="2" borderId="6" applyAlignment="1" pivotButton="0" quotePrefix="0" xfId="3">
      <alignment horizontal="center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37" fillId="0" borderId="6" applyAlignment="1" pivotButton="0" quotePrefix="0" xfId="3">
      <alignment horizontal="left" vertical="top" wrapText="1" shrinkToFit="1"/>
    </xf>
    <xf numFmtId="0" fontId="51" fillId="0" borderId="145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wrapText="1" shrinkToFit="1"/>
    </xf>
    <xf numFmtId="0" fontId="15" fillId="0" borderId="21" applyAlignment="1" pivotButton="0" quotePrefix="0" xfId="3">
      <alignment horizontal="center" vertical="center" wrapText="1" shrinkToFit="1"/>
    </xf>
    <xf numFmtId="0" fontId="15" fillId="0" borderId="22" applyAlignment="1" pivotButton="0" quotePrefix="0" xfId="3">
      <alignment horizontal="center" vertical="center" shrinkToFit="1"/>
    </xf>
    <xf numFmtId="0" fontId="0" fillId="0" borderId="67" pivotButton="0" quotePrefix="0" xfId="0"/>
    <xf numFmtId="0" fontId="0" fillId="0" borderId="35" pivotButton="0" quotePrefix="0" xfId="0"/>
    <xf numFmtId="0" fontId="15" fillId="0" borderId="139" applyAlignment="1" pivotButton="0" quotePrefix="0" xfId="3">
      <alignment horizontal="center" vertical="center" shrinkToFit="1"/>
    </xf>
    <xf numFmtId="0" fontId="12" fillId="0" borderId="145" applyAlignment="1" pivotButton="0" quotePrefix="0" xfId="3">
      <alignment horizontal="center" vertical="center" shrinkToFit="1"/>
    </xf>
    <xf numFmtId="0" fontId="51" fillId="0" borderId="146" applyAlignment="1" pivotButton="0" quotePrefix="0" xfId="3">
      <alignment horizontal="center" vertical="center" shrinkToFit="1"/>
    </xf>
    <xf numFmtId="0" fontId="34" fillId="2" borderId="2" applyAlignment="1" pivotButton="0" quotePrefix="0" xfId="3">
      <alignment horizontal="left" vertical="center" shrinkToFit="1"/>
    </xf>
    <xf numFmtId="0" fontId="12" fillId="0" borderId="148" applyAlignment="1" pivotButton="0" quotePrefix="0" xfId="3">
      <alignment horizontal="center" vertical="center" shrinkToFit="1"/>
    </xf>
    <xf numFmtId="0" fontId="15" fillId="7" borderId="143" applyAlignment="1" pivotButton="0" quotePrefix="0" xfId="3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24" fillId="0" borderId="6" applyAlignment="1" pivotButton="0" quotePrefix="0" xfId="5">
      <alignment horizontal="left" vertical="center" wrapText="1" shrinkToFit="1"/>
    </xf>
    <xf numFmtId="0" fontId="15" fillId="0" borderId="6" applyAlignment="1" pivotButton="0" quotePrefix="0" xfId="5">
      <alignment horizontal="center" vertical="center" wrapText="1" shrinkToFit="1"/>
    </xf>
    <xf numFmtId="0" fontId="37" fillId="0" borderId="6" applyAlignment="1" pivotButton="0" quotePrefix="0" xfId="5">
      <alignment horizontal="left" vertical="top" wrapText="1" shrinkToFit="1"/>
    </xf>
    <xf numFmtId="0" fontId="36" fillId="0" borderId="9" applyAlignment="1" pivotButton="0" quotePrefix="0" xfId="5">
      <alignment horizontal="center" vertical="center" shrinkToFit="1"/>
    </xf>
    <xf numFmtId="0" fontId="36" fillId="0" borderId="142" applyAlignment="1" pivotButton="0" quotePrefix="0" xfId="5">
      <alignment horizontal="center" vertical="center" shrinkToFit="1"/>
    </xf>
    <xf numFmtId="0" fontId="36" fillId="0" borderId="145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wrapText="1" shrinkToFit="1"/>
    </xf>
    <xf numFmtId="0" fontId="12" fillId="0" borderId="21" applyAlignment="1" pivotButton="0" quotePrefix="0" xfId="5">
      <alignment horizontal="center" vertical="center" wrapText="1" shrinkToFit="1"/>
    </xf>
    <xf numFmtId="0" fontId="12" fillId="0" borderId="22" applyAlignment="1" pivotButton="0" quotePrefix="0" xfId="5">
      <alignment horizontal="center" vertical="center" shrinkToFit="1"/>
    </xf>
    <xf numFmtId="0" fontId="12" fillId="0" borderId="139" applyAlignment="1" pivotButton="0" quotePrefix="0" xfId="5">
      <alignment horizontal="center" vertical="center" shrinkToFit="1"/>
    </xf>
    <xf numFmtId="0" fontId="12" fillId="0" borderId="145" applyAlignment="1" pivotButton="0" quotePrefix="0" xfId="5">
      <alignment horizontal="center" vertical="center" shrinkToFit="1"/>
    </xf>
    <xf numFmtId="0" fontId="36" fillId="0" borderId="146" applyAlignment="1" pivotButton="0" quotePrefix="0" xfId="5">
      <alignment horizontal="center" vertical="center" shrinkToFit="1"/>
    </xf>
    <xf numFmtId="0" fontId="25" fillId="0" borderId="6" applyAlignment="1" pivotButton="0" quotePrefix="0" xfId="5">
      <alignment horizontal="center" vertical="center" textRotation="255" shrinkToFit="1"/>
    </xf>
    <xf numFmtId="0" fontId="65" fillId="0" borderId="2" applyAlignment="1" pivotButton="0" quotePrefix="0" xfId="5">
      <alignment horizontal="left" vertical="center" shrinkToFit="1"/>
    </xf>
    <xf numFmtId="165" fontId="4" fillId="0" borderId="0" applyAlignment="1" pivotButton="0" quotePrefix="0" xfId="5">
      <alignment vertical="center" shrinkToFit="1"/>
    </xf>
    <xf numFmtId="0" fontId="12" fillId="12" borderId="148" applyAlignment="1" pivotButton="0" quotePrefix="0" xfId="5">
      <alignment horizontal="center" vertical="center" shrinkToFit="1"/>
    </xf>
    <xf numFmtId="0" fontId="15" fillId="7" borderId="143" applyAlignment="1" pivotButton="0" quotePrefix="0" xfId="5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15" fillId="0" borderId="6" applyAlignment="1" pivotButton="0" quotePrefix="0" xfId="4">
      <alignment horizontal="center" vertical="center" wrapText="1" shrinkToFit="1"/>
    </xf>
    <xf numFmtId="164" fontId="12" fillId="5" borderId="6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left" vertical="center" wrapText="1" shrinkToFit="1"/>
    </xf>
    <xf numFmtId="0" fontId="37" fillId="0" borderId="6" applyAlignment="1" pivotButton="0" quotePrefix="0" xfId="4">
      <alignment horizontal="left" vertical="top" wrapText="1" shrinkToFit="1"/>
    </xf>
    <xf numFmtId="0" fontId="36" fillId="0" borderId="6" applyAlignment="1" pivotButton="0" quotePrefix="0" xfId="4">
      <alignment horizontal="center" vertical="center" shrinkToFit="1"/>
    </xf>
    <xf numFmtId="0" fontId="36" fillId="0" borderId="9" applyAlignment="1" pivotButton="0" quotePrefix="0" xfId="4">
      <alignment horizontal="center" vertical="center" shrinkToFit="1"/>
    </xf>
    <xf numFmtId="0" fontId="36" fillId="0" borderId="142" applyAlignment="1" pivotButton="0" quotePrefix="0" xfId="4">
      <alignment horizontal="center" vertical="center" shrinkToFit="1"/>
    </xf>
    <xf numFmtId="0" fontId="51" fillId="0" borderId="145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wrapText="1" shrinkToFit="1"/>
    </xf>
    <xf numFmtId="0" fontId="15" fillId="0" borderId="21" applyAlignment="1" pivotButton="0" quotePrefix="0" xfId="4">
      <alignment horizontal="center" vertical="center" wrapText="1" shrinkToFit="1"/>
    </xf>
    <xf numFmtId="0" fontId="15" fillId="0" borderId="22" applyAlignment="1" pivotButton="0" quotePrefix="0" xfId="4">
      <alignment horizontal="center" vertical="center" shrinkToFit="1"/>
    </xf>
    <xf numFmtId="0" fontId="15" fillId="0" borderId="139" applyAlignment="1" pivotButton="0" quotePrefix="0" xfId="4">
      <alignment horizontal="center" vertical="center" shrinkToFit="1"/>
    </xf>
    <xf numFmtId="0" fontId="12" fillId="0" borderId="145" applyAlignment="1" pivotButton="0" quotePrefix="0" xfId="4">
      <alignment horizontal="center" vertical="center" shrinkToFit="1"/>
    </xf>
    <xf numFmtId="0" fontId="51" fillId="0" borderId="146" applyAlignment="1" pivotButton="0" quotePrefix="0" xfId="4">
      <alignment horizontal="center" vertical="center" shrinkToFit="1"/>
    </xf>
    <xf numFmtId="0" fontId="25" fillId="0" borderId="6" applyAlignment="1" pivotButton="0" quotePrefix="0" xfId="4">
      <alignment horizontal="center" vertical="center" textRotation="255" shrinkToFit="1"/>
    </xf>
    <xf numFmtId="0" fontId="34" fillId="0" borderId="2" applyAlignment="1" pivotButton="0" quotePrefix="0" xfId="4">
      <alignment horizontal="left" vertical="center" shrinkToFit="1"/>
    </xf>
    <xf numFmtId="165" fontId="6" fillId="0" borderId="0" applyAlignment="1" pivotButton="0" quotePrefix="0" xfId="4">
      <alignment vertical="center" shrinkToFit="1"/>
    </xf>
    <xf numFmtId="0" fontId="15" fillId="0" borderId="148" applyAlignment="1" pivotButton="0" quotePrefix="0" xfId="4">
      <alignment horizontal="center" vertical="center" shrinkToFit="1"/>
    </xf>
    <xf numFmtId="0" fontId="15" fillId="7" borderId="143" applyAlignment="1" pivotButton="0" quotePrefix="0" xfId="4">
      <alignment horizontal="center" vertical="center" shrinkToFit="1"/>
    </xf>
    <xf numFmtId="0" fontId="12" fillId="0" borderId="148" applyAlignment="1" pivotButton="0" quotePrefix="0" xfId="4">
      <alignment horizontal="center" vertical="center" shrinkToFit="1"/>
    </xf>
    <xf numFmtId="0" fontId="87" fillId="0" borderId="6" applyAlignment="1" pivotButton="0" quotePrefix="0" xfId="3">
      <alignment horizontal="center" vertical="center" shrinkToFit="1"/>
    </xf>
    <xf numFmtId="0" fontId="87" fillId="0" borderId="51" applyAlignment="1" pivotButton="0" quotePrefix="0" xfId="3">
      <alignment horizontal="center" vertical="center" shrinkToFit="1"/>
    </xf>
    <xf numFmtId="0" fontId="88" fillId="0" borderId="6" applyAlignment="1" pivotButton="0" quotePrefix="0" xfId="3">
      <alignment horizontal="center" vertical="center" shrinkToFit="1"/>
    </xf>
    <xf numFmtId="0" fontId="87" fillId="14" borderId="6" applyAlignment="1" pivotButton="0" quotePrefix="0" xfId="3">
      <alignment horizontal="center" vertical="center" shrinkToFit="1"/>
    </xf>
    <xf numFmtId="0" fontId="87" fillId="14" borderId="9" applyAlignment="1" pivotButton="0" quotePrefix="0" xfId="3">
      <alignment horizontal="center" vertical="center" shrinkToFit="1"/>
    </xf>
  </cellXfs>
  <cellStyles count="6">
    <cellStyle name="標準" xfId="0" builtinId="0"/>
    <cellStyle name="標準 2" xfId="1"/>
    <cellStyle name="標準 3" xfId="2"/>
    <cellStyle name="標準 3 2" xfId="3"/>
    <cellStyle name="標準 3 2 2" xfId="4"/>
    <cellStyle name="標準 3 2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tabSelected="1" view="pageBreakPreview" topLeftCell="A28" zoomScale="130" zoomScaleNormal="85" zoomScaleSheetLayoutView="130" workbookViewId="0">
      <selection activeCell="B31" sqref="B3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54" t="inlineStr">
        <is>
          <t>R8年度　冬期講座　時間割表紙</t>
        </is>
      </c>
      <c r="N1" s="1155" t="inlineStr">
        <is>
          <t>更新日</t>
        </is>
      </c>
      <c r="P1" s="1157" t="n">
        <v>46297</v>
      </c>
      <c r="R1" s="1157" t="n"/>
    </row>
    <row r="2" ht="16.15" customHeight="1" s="1428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1</v>
      </c>
      <c r="J2" s="135" t="n">
        <v>3</v>
      </c>
      <c r="K2" s="135" t="n">
        <v>3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6" t="inlineStr">
        <is>
          <t>日付</t>
        </is>
      </c>
      <c r="C3" s="1429" t="n">
        <v>46372</v>
      </c>
      <c r="D3" s="1429" t="n">
        <v>46373</v>
      </c>
      <c r="E3" s="1429" t="n">
        <v>46374</v>
      </c>
      <c r="F3" s="1430" t="n">
        <v>46375</v>
      </c>
      <c r="G3" s="1430" t="n">
        <v>46376</v>
      </c>
      <c r="H3" s="1430" t="n">
        <v>46377</v>
      </c>
      <c r="I3" s="1430" t="n">
        <v>46378</v>
      </c>
      <c r="J3" s="1430" t="n">
        <v>46379</v>
      </c>
      <c r="K3" s="1430" t="n">
        <v>46380</v>
      </c>
      <c r="L3" s="1430" t="n">
        <v>46381</v>
      </c>
      <c r="M3" s="1430" t="n">
        <v>46382</v>
      </c>
      <c r="N3" s="1430" t="n">
        <v>46383</v>
      </c>
      <c r="O3" s="1430" t="n">
        <v>46384</v>
      </c>
      <c r="P3" s="1430" t="n">
        <v>46385</v>
      </c>
      <c r="Q3" s="1430" t="n">
        <v>46386</v>
      </c>
      <c r="R3" s="1430" t="n">
        <v>46387</v>
      </c>
      <c r="S3" s="1431" t="n"/>
    </row>
    <row r="4" ht="13.15" customFormat="1" customHeight="1" s="7">
      <c r="B4" s="1076" t="inlineStr">
        <is>
          <t>曜日</t>
        </is>
      </c>
      <c r="C4" s="1432">
        <f>C3</f>
        <v/>
      </c>
      <c r="D4" s="1432">
        <f>D3</f>
        <v/>
      </c>
      <c r="E4" s="1432">
        <f>E3</f>
        <v/>
      </c>
      <c r="F4" s="1433">
        <f>F3</f>
        <v/>
      </c>
      <c r="G4" s="1434">
        <f>G3</f>
        <v/>
      </c>
      <c r="H4" s="1433">
        <f>H3</f>
        <v/>
      </c>
      <c r="I4" s="1435">
        <f>I3</f>
        <v/>
      </c>
      <c r="J4" s="1433">
        <f>J3</f>
        <v/>
      </c>
      <c r="K4" s="1433">
        <f>K3</f>
        <v/>
      </c>
      <c r="L4" s="1433">
        <f>L3</f>
        <v/>
      </c>
      <c r="M4" s="1433">
        <f>M3</f>
        <v/>
      </c>
      <c r="N4" s="1434">
        <f>N3</f>
        <v/>
      </c>
      <c r="O4" s="1434">
        <f>O3</f>
        <v/>
      </c>
      <c r="P4" s="1435">
        <f>P3</f>
        <v/>
      </c>
      <c r="Q4" s="1433">
        <f>Q3</f>
        <v/>
      </c>
      <c r="R4" s="1433">
        <f>R3</f>
        <v/>
      </c>
      <c r="S4" s="1436" t="n"/>
    </row>
    <row r="5" ht="13.15" customFormat="1" customHeight="1" s="7">
      <c r="B5" s="1076" t="inlineStr">
        <is>
          <t>①</t>
        </is>
      </c>
      <c r="C5" s="1437" t="inlineStr">
        <is>
          <t>最終授業</t>
        </is>
      </c>
      <c r="D5" s="1438" t="inlineStr">
        <is>
          <t>講座準備
中3集合?</t>
        </is>
      </c>
      <c r="E5" s="1438" t="inlineStr">
        <is>
          <t>講座準備
中3集合?</t>
        </is>
      </c>
      <c r="F5" s="8" t="n"/>
      <c r="G5" s="8" t="n"/>
      <c r="H5" s="1439" t="inlineStr">
        <is>
          <t>休館</t>
        </is>
      </c>
      <c r="I5" s="1440" t="inlineStr">
        <is>
          <t>学校</t>
        </is>
      </c>
      <c r="J5" s="1441" t="inlineStr">
        <is>
          <t>学校
終業式
(市内)</t>
        </is>
      </c>
      <c r="K5" s="1441" t="inlineStr">
        <is>
          <t>学校
終業式
(市外)</t>
        </is>
      </c>
      <c r="L5" s="8" t="n"/>
      <c r="M5" s="8" t="n"/>
      <c r="N5" s="8" t="n"/>
      <c r="O5" s="8" t="n"/>
      <c r="P5" s="8" t="n"/>
      <c r="Q5" s="8" t="n"/>
      <c r="R5" s="1438" t="inlineStr">
        <is>
          <t>休館</t>
        </is>
      </c>
      <c r="S5" s="10" t="n"/>
    </row>
    <row r="6" ht="13.15" customFormat="1" customHeight="1" s="7">
      <c r="B6" s="1076" t="inlineStr">
        <is>
          <t>②</t>
        </is>
      </c>
      <c r="C6" s="1442" t="n"/>
      <c r="D6" s="1442" t="n"/>
      <c r="E6" s="1442" t="n"/>
      <c r="F6" s="8" t="n"/>
      <c r="G6" s="8" t="n"/>
      <c r="H6" s="1442" t="n"/>
      <c r="I6" s="1442" t="n"/>
      <c r="J6" s="1442" t="n"/>
      <c r="K6" s="1442" t="n"/>
      <c r="L6" s="8" t="n"/>
      <c r="M6" s="8" t="n"/>
      <c r="N6" s="8" t="n"/>
      <c r="O6" s="8" t="n"/>
      <c r="P6" s="8" t="n"/>
      <c r="Q6" s="8" t="n"/>
      <c r="R6" s="1442" t="n"/>
      <c r="S6" s="10" t="n"/>
    </row>
    <row r="7" ht="13.15" customFormat="1" customHeight="1" s="7">
      <c r="B7" s="1076" t="inlineStr">
        <is>
          <t>③</t>
        </is>
      </c>
      <c r="C7" s="1442" t="n"/>
      <c r="D7" s="1442" t="n"/>
      <c r="E7" s="1442" t="n"/>
      <c r="F7" s="8" t="n"/>
      <c r="G7" s="8" t="n"/>
      <c r="H7" s="1442" t="n"/>
      <c r="I7" s="1442" t="n"/>
      <c r="J7" s="1443" t="n"/>
      <c r="K7" s="1443" t="n"/>
      <c r="L7" s="8" t="n"/>
      <c r="M7" s="8" t="n"/>
      <c r="N7" s="8" t="n"/>
      <c r="O7" s="8" t="n"/>
      <c r="P7" s="8" t="n"/>
      <c r="Q7" s="8" t="n"/>
      <c r="R7" s="1442" t="n"/>
      <c r="S7" s="10" t="n"/>
    </row>
    <row r="8" ht="13.15" customFormat="1" customHeight="1" s="7">
      <c r="B8" s="1076" t="inlineStr">
        <is>
          <t>④</t>
        </is>
      </c>
      <c r="C8" s="1442" t="n"/>
      <c r="D8" s="1442" t="n"/>
      <c r="E8" s="1442" t="n"/>
      <c r="F8" s="8" t="n"/>
      <c r="G8" s="8" t="n"/>
      <c r="H8" s="1442" t="n"/>
      <c r="I8" s="1442" t="n"/>
      <c r="J8" s="8" t="n"/>
      <c r="K8" s="8" t="n"/>
      <c r="L8" s="8" t="n"/>
      <c r="M8" s="8" t="n"/>
      <c r="N8" s="8" t="n"/>
      <c r="O8" s="8" t="n"/>
      <c r="P8" s="8" t="n"/>
      <c r="Q8" s="8" t="n"/>
      <c r="R8" s="1442" t="n"/>
      <c r="S8" s="10" t="n"/>
    </row>
    <row r="9" ht="13.15" customFormat="1" customHeight="1" s="7">
      <c r="B9" s="1076" t="inlineStr">
        <is>
          <t>⑤</t>
        </is>
      </c>
      <c r="C9" s="1442" t="n"/>
      <c r="D9" s="1442" t="n"/>
      <c r="E9" s="1442" t="n"/>
      <c r="F9" s="8" t="n"/>
      <c r="G9" s="8" t="n"/>
      <c r="H9" s="1442" t="n"/>
      <c r="I9" s="1443" t="n"/>
      <c r="J9" s="8" t="n"/>
      <c r="K9" s="8" t="n"/>
      <c r="L9" s="8" t="n"/>
      <c r="M9" s="8" t="n"/>
      <c r="N9" s="8" t="n"/>
      <c r="O9" s="8" t="n"/>
      <c r="P9" s="8" t="n"/>
      <c r="Q9" s="8" t="n"/>
      <c r="R9" s="1442" t="n"/>
      <c r="S9" s="10" t="n"/>
      <c r="U9" s="9" t="n"/>
    </row>
    <row r="10" ht="13.15" customFormat="1" customHeight="1" s="7">
      <c r="B10" s="1076" t="inlineStr">
        <is>
          <t>⑥</t>
        </is>
      </c>
      <c r="C10" s="1442" t="n"/>
      <c r="D10" s="1442" t="n"/>
      <c r="E10" s="1442" t="n"/>
      <c r="F10" s="8" t="n"/>
      <c r="G10" s="8" t="n"/>
      <c r="H10" s="1442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1442" t="n"/>
      <c r="S10" s="10" t="n"/>
    </row>
    <row r="11" ht="13.15" customFormat="1" customHeight="1" s="7">
      <c r="B11" s="1076" t="inlineStr">
        <is>
          <t>自習</t>
        </is>
      </c>
      <c r="C11" s="1443" t="n"/>
      <c r="D11" s="1443" t="n"/>
      <c r="E11" s="1443" t="n"/>
      <c r="F11" s="1007" t="n"/>
      <c r="G11" s="1007" t="n"/>
      <c r="H11" s="1443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007" t="n"/>
      <c r="R11" s="1443" t="n"/>
      <c r="S11" s="10" t="n"/>
    </row>
    <row r="12" ht="13.15" customHeight="1" s="1428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28">
      <c r="B13" s="1076" t="inlineStr">
        <is>
          <t>日付</t>
        </is>
      </c>
      <c r="C13" s="1430" t="n">
        <v>46388</v>
      </c>
      <c r="D13" s="1430" t="n">
        <v>46389</v>
      </c>
      <c r="E13" s="1430" t="n">
        <v>46390</v>
      </c>
      <c r="F13" s="1430" t="n">
        <v>46391</v>
      </c>
      <c r="G13" s="1430" t="n">
        <v>46392</v>
      </c>
      <c r="H13" s="1430" t="n">
        <v>46393</v>
      </c>
      <c r="I13" s="1429" t="n">
        <v>46394</v>
      </c>
      <c r="J13" s="1429" t="n">
        <v>46395</v>
      </c>
      <c r="K13" s="1429" t="n">
        <v>46396</v>
      </c>
      <c r="L13" s="1429" t="n">
        <v>46397</v>
      </c>
      <c r="N13" s="1132" t="inlineStr">
        <is>
          <t>【R9中学入試】
1/5博多女子A，東明館
1/6弘学館，中村前期
【R9高校入試】
1/5東明館A
1/6弘学館</t>
        </is>
      </c>
      <c r="R13" s="1431" t="n"/>
      <c r="S13" s="7" t="n"/>
      <c r="T13" s="7" t="n"/>
    </row>
    <row r="14" ht="13.15" customHeight="1" s="1428">
      <c r="B14" s="1076" t="inlineStr">
        <is>
          <t>曜日</t>
        </is>
      </c>
      <c r="C14" s="1433">
        <f>C13</f>
        <v/>
      </c>
      <c r="D14" s="1433">
        <f>D13</f>
        <v/>
      </c>
      <c r="E14" s="1434">
        <f>E13</f>
        <v/>
      </c>
      <c r="F14" s="1433">
        <f>F13</f>
        <v/>
      </c>
      <c r="G14" s="1433">
        <f>G13</f>
        <v/>
      </c>
      <c r="H14" s="1433">
        <f>H13</f>
        <v/>
      </c>
      <c r="I14" s="1432">
        <f>I13</f>
        <v/>
      </c>
      <c r="J14" s="1432">
        <f>J13</f>
        <v/>
      </c>
      <c r="K14" s="1432">
        <f>K13</f>
        <v/>
      </c>
      <c r="L14" s="1444">
        <f>L13</f>
        <v/>
      </c>
      <c r="M14" s="1010" t="n"/>
      <c r="R14" s="1436" t="n"/>
    </row>
    <row r="15" ht="13.15" customHeight="1" s="1428">
      <c r="B15" s="1076" t="inlineStr">
        <is>
          <t>①</t>
        </is>
      </c>
      <c r="C15" s="1438" t="inlineStr">
        <is>
          <t>休館</t>
        </is>
      </c>
      <c r="D15" s="1007" t="n"/>
      <c r="E15" s="8" t="n"/>
      <c r="F15" s="8" t="n"/>
      <c r="G15" s="8" t="n"/>
      <c r="H15" s="1445" t="inlineStr">
        <is>
          <t>反省
テスト</t>
        </is>
      </c>
      <c r="I15" s="1446" t="inlineStr">
        <is>
          <t>学校
始業式
後受け
成績処理
鏡開き</t>
        </is>
      </c>
      <c r="J15" s="1447" t="inlineStr">
        <is>
          <t>学校
始業式
（市外)
授業開始</t>
        </is>
      </c>
      <c r="K15" s="1054" t="n"/>
      <c r="L15" s="1054" t="n"/>
      <c r="M15" s="1010" t="n"/>
      <c r="R15" s="1153" t="n"/>
    </row>
    <row r="16" ht="13.15" customHeight="1" s="1428">
      <c r="B16" s="1076" t="inlineStr">
        <is>
          <t>②</t>
        </is>
      </c>
      <c r="C16" s="1442" t="n"/>
      <c r="D16" s="1007" t="n"/>
      <c r="E16" s="8" t="n"/>
      <c r="F16" s="8" t="n"/>
      <c r="G16" s="8" t="n"/>
      <c r="H16" s="1442" t="n"/>
      <c r="I16" s="1442" t="n"/>
      <c r="J16" s="1442" t="n"/>
      <c r="K16" s="1054" t="n"/>
      <c r="L16" s="1054" t="n"/>
      <c r="M16" s="1010" t="n"/>
    </row>
    <row r="17" ht="13.15" customHeight="1" s="1428">
      <c r="B17" s="1076" t="inlineStr">
        <is>
          <t>③</t>
        </is>
      </c>
      <c r="C17" s="1442" t="n"/>
      <c r="D17" s="1448" t="inlineStr">
        <is>
          <t>特別時制</t>
        </is>
      </c>
      <c r="E17" s="8" t="n"/>
      <c r="F17" s="8" t="n"/>
      <c r="G17" s="8" t="n"/>
      <c r="H17" s="1442" t="n"/>
      <c r="I17" s="1442" t="n"/>
      <c r="J17" s="1442" t="n"/>
      <c r="K17" s="1054" t="n"/>
      <c r="L17" s="1054" t="n"/>
      <c r="M17" s="1010" t="n"/>
    </row>
    <row r="18" ht="13.15" customHeight="1" s="1428">
      <c r="B18" s="1076" t="inlineStr">
        <is>
          <t>④</t>
        </is>
      </c>
      <c r="C18" s="1442" t="n"/>
      <c r="D18" s="1442" t="n"/>
      <c r="E18" s="8" t="n"/>
      <c r="F18" s="8" t="n"/>
      <c r="G18" s="8" t="n"/>
      <c r="H18" s="1442" t="n"/>
      <c r="I18" s="1442" t="n"/>
      <c r="J18" s="1442" t="n"/>
      <c r="K18" s="1054" t="n"/>
      <c r="L18" s="1054" t="n"/>
      <c r="M18" s="1010" t="n"/>
    </row>
    <row r="19" ht="13.15" customHeight="1" s="1428">
      <c r="B19" s="1076" t="inlineStr">
        <is>
          <t>⑤</t>
        </is>
      </c>
      <c r="C19" s="1442" t="n"/>
      <c r="D19" s="1443" t="n"/>
      <c r="E19" s="8" t="n"/>
      <c r="F19" s="8" t="n"/>
      <c r="G19" s="8" t="n"/>
      <c r="H19" s="1442" t="n"/>
      <c r="I19" s="1442" t="n"/>
      <c r="J19" s="1442" t="n"/>
      <c r="K19" s="1054" t="n"/>
      <c r="L19" s="1054" t="n"/>
      <c r="M19" s="1010" t="n"/>
    </row>
    <row r="20" ht="13.15" customHeight="1" s="1428">
      <c r="B20" s="1076" t="inlineStr">
        <is>
          <t>⑥</t>
        </is>
      </c>
      <c r="C20" s="1442" t="n"/>
      <c r="D20" s="1007" t="n"/>
      <c r="E20" s="8" t="n"/>
      <c r="F20" s="8" t="n"/>
      <c r="G20" s="8" t="n"/>
      <c r="H20" s="1442" t="n"/>
      <c r="I20" s="1442" t="n"/>
      <c r="J20" s="1442" t="n"/>
      <c r="K20" s="1054" t="n"/>
      <c r="L20" s="1054" t="n"/>
      <c r="M20" s="1010" t="n"/>
    </row>
    <row r="21" ht="13.15" customHeight="1" s="1428">
      <c r="B21" s="1076" t="inlineStr">
        <is>
          <t>自習</t>
        </is>
      </c>
      <c r="C21" s="1443" t="n"/>
      <c r="D21" s="1007" t="n"/>
      <c r="E21" s="1007" t="n"/>
      <c r="F21" s="1007" t="n"/>
      <c r="G21" s="1007" t="n"/>
      <c r="H21" s="1443" t="n"/>
      <c r="I21" s="1443" t="n"/>
      <c r="J21" s="1443" t="n"/>
      <c r="K21" s="1054" t="n"/>
      <c r="L21" s="1054" t="n"/>
      <c r="M21" s="1010" t="n"/>
    </row>
    <row r="22" ht="13.15" customHeight="1" s="1428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↑受験学年授業開始?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29.25" customHeight="1" s="1428">
      <c r="B23" s="1080" t="inlineStr">
        <is>
          <t>【期間(反省テスト日除く)】　12/19～1/5</t>
        </is>
      </c>
      <c r="H23" s="4" t="n"/>
    </row>
    <row r="24" ht="29.25" customHeight="1" s="1428">
      <c r="B24" s="1060" t="inlineStr">
        <is>
          <t>（全14日間　計70コマ　※12/21と12/31と1/1と1/6を除く　※高宮校は12/24①②③不可，全校舎12/23①②③不可）</t>
        </is>
      </c>
      <c r="H24" s="4" t="n"/>
    </row>
    <row r="25" ht="13.15" customHeight="1" s="1428">
      <c r="B25" s="657" t="inlineStr">
        <is>
          <t>★R7年度→12/20～1/5（全14日間　計78コマ※12/22と12/31と1/1と1/6を除く)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29" t="n"/>
    </row>
    <row r="26" ht="13.15" customHeight="1" s="1428">
      <c r="B26" s="657" t="inlineStr">
        <is>
          <t>★R6年度→12/21～1/5（全15日間　計82コマ※1/1と1/6を除く）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29" t="n"/>
    </row>
    <row r="27" ht="13.15" customHeight="1" s="1428">
      <c r="B27" s="657" t="inlineStr">
        <is>
          <t>★R5年度→12/22～1/7（全15日間　計83コマ※1/1と1/7を除く）</t>
        </is>
      </c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29" t="n"/>
    </row>
    <row r="28" ht="13.15" customHeight="1" s="1428">
      <c r="B28" s="657" t="inlineStr">
        <is>
          <t>★R4年度→12/23～1/8（全13日間　計73コマ※1/1と1/2と1/8を除く）</t>
        </is>
      </c>
      <c r="J28" s="932" t="n"/>
      <c r="K28" s="932" t="n"/>
      <c r="L28" s="932" t="n"/>
      <c r="M28" s="932" t="n"/>
      <c r="N28" s="932" t="n"/>
      <c r="O28" s="932" t="n"/>
      <c r="P28" s="932" t="n"/>
      <c r="Q28" s="932" t="n"/>
      <c r="R28" s="1229" t="n"/>
    </row>
    <row r="29" ht="13.15" customHeight="1" s="1428">
      <c r="B29" s="1009" t="n"/>
      <c r="J29" s="932" t="n"/>
      <c r="K29" s="932" t="n"/>
      <c r="L29" s="932" t="n"/>
      <c r="M29" s="932" t="n"/>
      <c r="N29" s="932" t="n"/>
      <c r="O29" s="932" t="n"/>
      <c r="P29" s="932" t="n"/>
      <c r="Q29" s="932" t="n"/>
      <c r="R29" s="1229" t="n"/>
    </row>
    <row r="30" ht="13.15" customFormat="1" customHeight="1" s="1164" thickBot="1">
      <c r="B30" s="1164" t="inlineStr">
        <is>
          <t>２．授業回数　※梅3特(最多)→全14日で54コマ→一日平均3.8コマ</t>
        </is>
      </c>
    </row>
    <row r="31" ht="13.15" customHeight="1" s="1428" thickBot="1">
      <c r="B31" s="1076" t="inlineStr">
        <is>
          <t>クラス</t>
        </is>
      </c>
      <c r="C31" s="1076" t="inlineStr">
        <is>
          <t>国</t>
        </is>
      </c>
      <c r="D31" s="1076" t="inlineStr">
        <is>
          <t>数</t>
        </is>
      </c>
      <c r="E31" s="1076" t="inlineStr">
        <is>
          <t>社</t>
        </is>
      </c>
      <c r="F31" s="1076" t="inlineStr">
        <is>
          <t>理</t>
        </is>
      </c>
      <c r="G31" s="1095" t="inlineStr">
        <is>
          <t>英</t>
        </is>
      </c>
      <c r="H31" s="18" t="inlineStr">
        <is>
          <t>計</t>
        </is>
      </c>
      <c r="I31" s="1018" t="inlineStr">
        <is>
          <t>R7,6</t>
        </is>
      </c>
      <c r="J31" s="1019" t="inlineStr">
        <is>
          <t>R5</t>
        </is>
      </c>
      <c r="K31" s="1076" t="inlineStr">
        <is>
          <t>クラス</t>
        </is>
      </c>
      <c r="L31" s="1076" t="inlineStr">
        <is>
          <t>国</t>
        </is>
      </c>
      <c r="M31" s="1076" t="inlineStr">
        <is>
          <t>算</t>
        </is>
      </c>
      <c r="N31" s="1076" t="inlineStr">
        <is>
          <t>社</t>
        </is>
      </c>
      <c r="O31" s="1095" t="inlineStr">
        <is>
          <t>理</t>
        </is>
      </c>
      <c r="P31" s="20" t="inlineStr">
        <is>
          <t>計</t>
        </is>
      </c>
      <c r="Q31" s="1018" t="inlineStr">
        <is>
          <t>R7,6</t>
        </is>
      </c>
      <c r="R31" s="1019" t="inlineStr">
        <is>
          <t>R5</t>
        </is>
      </c>
      <c r="T31" s="266" t="n"/>
    </row>
    <row r="32" ht="13.15" customHeight="1" s="1428">
      <c r="B32" s="21" t="inlineStr">
        <is>
          <t>梅3特</t>
        </is>
      </c>
      <c r="C32" s="129" t="n">
        <v>9</v>
      </c>
      <c r="D32" s="129" t="n">
        <v>14</v>
      </c>
      <c r="E32" s="129" t="n">
        <v>9</v>
      </c>
      <c r="F32" s="129" t="n">
        <v>9</v>
      </c>
      <c r="G32" s="229" t="n">
        <v>13</v>
      </c>
      <c r="H32" s="662">
        <f>SUM(C32:G32)</f>
        <v/>
      </c>
      <c r="I32" s="1119" t="n">
        <v>54</v>
      </c>
      <c r="J32" s="1120" t="n">
        <v>59</v>
      </c>
      <c r="K32" s="21" t="inlineStr">
        <is>
          <t>梅6JA</t>
        </is>
      </c>
      <c r="L32" s="129" t="n">
        <v>11</v>
      </c>
      <c r="M32" s="129" t="n">
        <v>17</v>
      </c>
      <c r="N32" s="129" t="n">
        <v>12</v>
      </c>
      <c r="O32" s="229" t="n">
        <v>12</v>
      </c>
      <c r="P32" s="130">
        <f>SUM(L32:O32)</f>
        <v/>
      </c>
      <c r="Q32" s="1119" t="n">
        <v>52</v>
      </c>
      <c r="R32" s="1120" t="n">
        <v>56</v>
      </c>
    </row>
    <row r="33" ht="13.15" customHeight="1" s="1428">
      <c r="B33" s="23" t="inlineStr">
        <is>
          <t>高西3A</t>
        </is>
      </c>
      <c r="C33" s="663" t="n">
        <v>8</v>
      </c>
      <c r="D33" s="663" t="n">
        <v>12</v>
      </c>
      <c r="E33" s="663" t="n">
        <v>9</v>
      </c>
      <c r="F33" s="663" t="n">
        <v>9</v>
      </c>
      <c r="G33" s="1012" t="n">
        <v>10</v>
      </c>
      <c r="H33" s="664">
        <f>SUM(C33:G33)</f>
        <v/>
      </c>
      <c r="I33" s="1119" t="n">
        <v>48</v>
      </c>
      <c r="J33" s="1120" t="n">
        <v>53</v>
      </c>
      <c r="K33" s="24" t="inlineStr">
        <is>
          <t>6J</t>
        </is>
      </c>
      <c r="L33" s="665" t="n">
        <v>9</v>
      </c>
      <c r="M33" s="665" t="n">
        <v>13</v>
      </c>
      <c r="N33" s="665" t="n">
        <v>10</v>
      </c>
      <c r="O33" s="666" t="n">
        <v>10</v>
      </c>
      <c r="P33" s="667">
        <f>SUM(L33:O33)</f>
        <v/>
      </c>
      <c r="Q33" s="1119" t="n">
        <v>42</v>
      </c>
      <c r="R33" s="1120" t="n">
        <v>45</v>
      </c>
    </row>
    <row r="34" ht="13.15" customHeight="1" s="1428">
      <c r="B34" s="24" t="inlineStr">
        <is>
          <t>梅3AB,高西3B</t>
        </is>
      </c>
      <c r="C34" s="665" t="n">
        <v>8</v>
      </c>
      <c r="D34" s="665" t="n">
        <v>12</v>
      </c>
      <c r="E34" s="665" t="n">
        <v>9</v>
      </c>
      <c r="F34" s="665" t="n">
        <v>9</v>
      </c>
      <c r="G34" s="666" t="n">
        <v>10</v>
      </c>
      <c r="H34" s="667">
        <f>SUM(C34:G34)</f>
        <v/>
      </c>
      <c r="I34" s="1119" t="n">
        <v>48</v>
      </c>
      <c r="J34" s="1120" t="n">
        <v>53</v>
      </c>
      <c r="K34" s="8" t="inlineStr">
        <is>
          <t>6通</t>
        </is>
      </c>
      <c r="L34" s="668" t="n">
        <v>4</v>
      </c>
      <c r="M34" s="668" t="n">
        <v>5</v>
      </c>
      <c r="N34" s="668" t="n">
        <v>3</v>
      </c>
      <c r="O34" s="1449" t="n">
        <v>3</v>
      </c>
      <c r="P34" s="1450">
        <f>SUM(L34:O35)</f>
        <v/>
      </c>
      <c r="Q34" s="1119" t="n">
        <v>15</v>
      </c>
      <c r="R34" s="1120" t="n">
        <v>15</v>
      </c>
    </row>
    <row r="35" ht="13.15" customHeight="1" s="1428">
      <c r="B35" s="21" t="inlineStr">
        <is>
          <t>2Ｔ</t>
        </is>
      </c>
      <c r="C35" s="129" t="n">
        <v>5</v>
      </c>
      <c r="D35" s="129" t="n">
        <v>7</v>
      </c>
      <c r="E35" s="129" t="n">
        <v>5</v>
      </c>
      <c r="F35" s="129" t="n">
        <v>5</v>
      </c>
      <c r="G35" s="229" t="n">
        <v>7</v>
      </c>
      <c r="H35" s="130">
        <f>SUM(C35:G35)</f>
        <v/>
      </c>
      <c r="I35" s="1119" t="n">
        <v>29</v>
      </c>
      <c r="J35" s="1120" t="n">
        <v>29</v>
      </c>
      <c r="K35" s="1443" t="n"/>
      <c r="L35" s="1443" t="n"/>
      <c r="M35" s="1443" t="n"/>
      <c r="N35" s="1443" t="n"/>
      <c r="O35" s="1451" t="n"/>
      <c r="P35" s="1452" t="n"/>
    </row>
    <row r="36" ht="13.15" customHeight="1" s="1428">
      <c r="B36" s="24" t="inlineStr">
        <is>
          <t>2AB</t>
        </is>
      </c>
      <c r="C36" s="665" t="n">
        <v>5</v>
      </c>
      <c r="D36" s="665" t="n">
        <v>6</v>
      </c>
      <c r="E36" s="665" t="n">
        <v>5</v>
      </c>
      <c r="F36" s="665" t="n">
        <v>5</v>
      </c>
      <c r="G36" s="1453" t="n">
        <v>6</v>
      </c>
      <c r="H36" s="667">
        <f>SUM(C36:G37)</f>
        <v/>
      </c>
      <c r="I36" s="1099" t="n">
        <v>27</v>
      </c>
      <c r="J36" s="1100" t="n">
        <v>27</v>
      </c>
      <c r="K36" s="21" t="inlineStr">
        <is>
          <t>5Ｈ</t>
        </is>
      </c>
      <c r="L36" s="1454" t="n">
        <v>3</v>
      </c>
      <c r="M36" s="1454" t="n">
        <v>4</v>
      </c>
      <c r="N36" s="1454" t="n">
        <v>3</v>
      </c>
      <c r="O36" s="1455" t="n">
        <v>3</v>
      </c>
      <c r="P36" s="1450">
        <f>SUM(L36:O36)</f>
        <v/>
      </c>
      <c r="Q36" s="1119" t="n">
        <v>13</v>
      </c>
      <c r="R36" s="1120" t="n">
        <v>13</v>
      </c>
    </row>
    <row r="37" ht="13.15" customHeight="1" s="1428">
      <c r="B37" s="1443" t="n"/>
      <c r="C37" s="1443" t="n"/>
      <c r="D37" s="1443" t="n"/>
      <c r="E37" s="1443" t="n"/>
      <c r="F37" s="1443" t="n"/>
      <c r="G37" s="1456" t="n"/>
      <c r="H37" s="1452" t="n"/>
      <c r="I37" s="1457" t="n"/>
      <c r="J37" s="1458" t="n"/>
      <c r="K37" s="1459" t="n"/>
      <c r="L37" s="1443" t="n"/>
      <c r="M37" s="1443" t="n"/>
      <c r="N37" s="1443" t="n"/>
      <c r="O37" s="1451" t="n"/>
      <c r="P37" s="1452" t="n"/>
    </row>
    <row r="38" ht="13.15" customHeight="1" s="1428">
      <c r="B38" s="21" t="inlineStr">
        <is>
          <t>梅1T,高西1A</t>
        </is>
      </c>
      <c r="C38" s="129" t="n">
        <v>4</v>
      </c>
      <c r="D38" s="129" t="n">
        <v>6</v>
      </c>
      <c r="E38" s="129" t="n">
        <v>4</v>
      </c>
      <c r="F38" s="129" t="n">
        <v>4</v>
      </c>
      <c r="G38" s="1011" t="n">
        <v>8</v>
      </c>
      <c r="H38" s="130">
        <f>SUM(C38:G38)</f>
        <v/>
      </c>
      <c r="I38" s="1119" t="n">
        <v>26</v>
      </c>
      <c r="J38" s="1120" t="n">
        <v>26</v>
      </c>
      <c r="K38" s="1121" t="inlineStr">
        <is>
          <t>4年</t>
        </is>
      </c>
      <c r="L38" s="1454" t="n">
        <v>3</v>
      </c>
      <c r="M38" s="1454" t="n">
        <v>3</v>
      </c>
      <c r="N38" s="1454" t="n">
        <v>0</v>
      </c>
      <c r="O38" s="1455" t="n">
        <v>0</v>
      </c>
      <c r="P38" s="1460">
        <f>SUM(L38:O38)</f>
        <v/>
      </c>
      <c r="Q38" s="1119" t="n">
        <v>6</v>
      </c>
      <c r="R38" s="1120" t="n">
        <v>6</v>
      </c>
    </row>
    <row r="39" ht="13.15" customHeight="1" s="1428" thickBot="1">
      <c r="B39" s="24" t="inlineStr">
        <is>
          <t>梅1A,高西1B</t>
        </is>
      </c>
      <c r="C39" s="665" t="n">
        <v>4</v>
      </c>
      <c r="D39" s="665" t="n">
        <v>5</v>
      </c>
      <c r="E39" s="665" t="n">
        <v>4</v>
      </c>
      <c r="F39" s="665" t="n">
        <v>4</v>
      </c>
      <c r="G39" s="1453" t="n">
        <v>5</v>
      </c>
      <c r="H39" s="1461">
        <f>SUM(C39:G40)</f>
        <v/>
      </c>
      <c r="I39" s="1099" t="n">
        <v>22</v>
      </c>
      <c r="J39" s="1100" t="n">
        <v>22</v>
      </c>
      <c r="K39" s="1442" t="n"/>
      <c r="L39" s="1443" t="n"/>
      <c r="M39" s="1443" t="n"/>
      <c r="N39" s="1443" t="n"/>
      <c r="O39" s="1451" t="n"/>
      <c r="P39" s="1462" t="n"/>
    </row>
    <row r="40" ht="13.15" customHeight="1" s="1428" thickBot="1">
      <c r="B40" s="1443" t="n"/>
      <c r="C40" s="1443" t="n"/>
      <c r="D40" s="1443" t="n"/>
      <c r="E40" s="1443" t="n"/>
      <c r="F40" s="1443" t="n"/>
      <c r="G40" s="1456" t="n"/>
      <c r="H40" s="1462" t="n"/>
      <c r="I40" s="1457" t="n"/>
      <c r="J40" s="1458" t="n"/>
      <c r="K40" s="1101" t="inlineStr">
        <is>
          <t>特別
講座</t>
        </is>
      </c>
      <c r="L40" s="1076" t="inlineStr">
        <is>
          <t>4年算数</t>
        </is>
      </c>
      <c r="M40" s="1076" t="inlineStr">
        <is>
          <t>5H算数</t>
        </is>
      </c>
      <c r="N40" s="1076" t="inlineStr">
        <is>
          <t>5H社会</t>
        </is>
      </c>
      <c r="O40" s="1095" t="inlineStr">
        <is>
          <t>5H理科</t>
        </is>
      </c>
      <c r="P40" s="1015" t="n"/>
      <c r="Q40" s="93" t="n"/>
    </row>
    <row r="41" ht="13.15" customHeight="1" s="1428" thickBot="1">
      <c r="B41" s="1103" t="inlineStr">
        <is>
          <t>※高校講座→5コマ？</t>
        </is>
      </c>
      <c r="I41" s="19" t="n"/>
      <c r="K41" s="1443" t="n"/>
      <c r="L41" s="668" t="n">
        <v>3</v>
      </c>
      <c r="M41" s="668" t="n">
        <v>5</v>
      </c>
      <c r="N41" s="1013" t="n">
        <v>5</v>
      </c>
      <c r="O41" s="1014" t="n">
        <v>4</v>
      </c>
      <c r="P41" s="1016" t="n"/>
    </row>
    <row r="42" ht="13.15" customHeight="1" s="1428">
      <c r="B42" s="30" t="n"/>
      <c r="C42" s="30" t="n"/>
      <c r="D42" s="30" t="n"/>
      <c r="E42" s="30" t="n"/>
      <c r="F42" s="19" t="n"/>
      <c r="G42" s="19" t="n"/>
      <c r="H42" s="19" t="n"/>
      <c r="I42" s="19" t="n"/>
      <c r="O42" s="228" t="n"/>
    </row>
    <row r="43" ht="13.15" customFormat="1" customHeight="1" s="34">
      <c r="B43" s="1463" t="inlineStr">
        <is>
          <t>注意点</t>
        </is>
      </c>
      <c r="C43" s="918" t="inlineStr">
        <is>
          <t>⑴　時間帯（1コマ90分）</t>
        </is>
      </c>
      <c r="D43" s="919" t="n"/>
      <c r="E43" s="919" t="n"/>
      <c r="F43" s="919" t="n"/>
      <c r="G43" s="919" t="n"/>
      <c r="H43" s="919" t="n"/>
      <c r="I43" s="919" t="n"/>
      <c r="J43" s="919" t="n"/>
      <c r="K43" s="919" t="n"/>
      <c r="L43" s="919" t="n"/>
      <c r="M43" s="919" t="n"/>
      <c r="N43" s="919" t="n"/>
      <c r="O43" s="919" t="n"/>
      <c r="P43" s="919" t="n"/>
      <c r="Q43" s="920" t="n"/>
    </row>
    <row r="44" ht="13.15" customFormat="1" customHeight="1" s="34">
      <c r="B44" s="1442" t="n"/>
      <c r="C44" s="1055" t="inlineStr">
        <is>
          <t xml:space="preserve"> ①9:30～11:00   ②11:15～12:45  ③13:20～14:50  ④15:05～16:35  ⑤16:50～18:20  ⑥18:35～20:05  質問受け等 20:15～20:50   </t>
        </is>
      </c>
      <c r="D44" s="921" t="n"/>
      <c r="E44" s="921" t="n"/>
      <c r="F44" s="921" t="n"/>
      <c r="G44" s="921" t="n"/>
      <c r="H44" s="921" t="n"/>
      <c r="I44" s="921" t="n"/>
      <c r="J44" s="921" t="n"/>
      <c r="K44" s="921" t="n"/>
      <c r="L44" s="921" t="n"/>
      <c r="M44" s="921" t="n"/>
      <c r="N44" s="921" t="n"/>
      <c r="O44" s="921" t="n"/>
      <c r="P44" s="921" t="n"/>
      <c r="Q44" s="922" t="n"/>
    </row>
    <row r="45" ht="13.15" customFormat="1" customHeight="1" s="34">
      <c r="B45" s="1442" t="n"/>
      <c r="C45" s="1464" t="inlineStr">
        <is>
          <t>⑵　期間　　12/22, 12/31, 1/1は休館</t>
        </is>
      </c>
      <c r="Q45" s="1458" t="n"/>
      <c r="R45" s="120" t="n"/>
    </row>
    <row r="46" ht="13.15" customFormat="1" customHeight="1" s="34">
      <c r="B46" s="1442" t="n"/>
      <c r="C46" s="1113" t="inlineStr">
        <is>
          <t>⑶　年末年始休み　　4年5ハイ6通と中1中2は12/30～1/3は休み(1特2特は12/31～1/3休み)，6受中3は12/31と1/1のみ休み</t>
        </is>
      </c>
      <c r="Q46" s="923" t="n"/>
    </row>
    <row r="47" ht="13.15" customFormat="1" customHeight="1" s="34">
      <c r="B47" s="1442" t="n"/>
      <c r="C47" s="1116" t="inlineStr">
        <is>
          <t>⑷　職員の公休　　12/30～1/3の間に3日(12/31と1/1含む)＋12/29までに2日(12/21含む)</t>
        </is>
      </c>
      <c r="Q47" s="922" t="n"/>
      <c r="R47" s="121" t="n"/>
    </row>
    <row r="48" ht="13.15" customFormat="1" customHeight="1" s="34">
      <c r="B48" s="1442" t="n"/>
      <c r="C48" s="1113" t="inlineStr">
        <is>
          <t>⑸　教員の授業は，１日最大５コマ，できれば４コマにおさえる</t>
        </is>
      </c>
      <c r="Q48" s="922" t="n"/>
      <c r="R48" s="121" t="n"/>
    </row>
    <row r="49" ht="13.15" customFormat="1" customHeight="1" s="34">
      <c r="B49" s="1442" t="n"/>
      <c r="C49" s="37" t="inlineStr">
        <is>
          <t>⑹　12/24または12/25の中1中2はできるだけ入れない</t>
        </is>
      </c>
      <c r="D49" s="38" t="n"/>
      <c r="E49" s="38" t="n"/>
      <c r="F49" s="38" t="n"/>
      <c r="G49" s="38" t="n"/>
      <c r="H49" s="38" t="n"/>
      <c r="I49" s="39" t="n"/>
      <c r="J49" s="38" t="n"/>
      <c r="K49" s="38" t="n"/>
      <c r="L49" s="38" t="n"/>
      <c r="M49" s="38" t="n"/>
      <c r="N49" s="38" t="n"/>
      <c r="O49" s="39" t="n"/>
      <c r="P49" s="39" t="n"/>
      <c r="Q49" s="35" t="n"/>
    </row>
    <row r="50" ht="13.15" customFormat="1" customHeight="1" s="34">
      <c r="B50" s="1443" t="n"/>
      <c r="C50" s="41" t="inlineStr">
        <is>
          <t>⑺　中3と6受の1月入試に注意(公立Bの東明館入試日は①～④限に入れない)</t>
        </is>
      </c>
      <c r="D50" s="42" t="n"/>
      <c r="E50" s="42" t="n"/>
      <c r="F50" s="42" t="n"/>
      <c r="G50" s="42" t="n"/>
      <c r="H50" s="42" t="n"/>
      <c r="I50" s="43" t="n"/>
      <c r="J50" s="42" t="n"/>
      <c r="K50" s="42" t="n"/>
      <c r="L50" s="42" t="n"/>
      <c r="M50" s="42" t="n"/>
      <c r="N50" s="42" t="n"/>
      <c r="O50" s="43" t="n"/>
      <c r="P50" s="43" t="n"/>
      <c r="Q50" s="44" t="n"/>
    </row>
    <row r="51" ht="13.15" customHeight="1" s="1428"/>
    <row r="52" ht="13.15" customHeight="1" s="1428">
      <c r="C52" s="1076" t="inlineStr">
        <is>
          <t>梅光園</t>
        </is>
      </c>
      <c r="D52" s="1465" t="n"/>
      <c r="E52" s="10" t="n"/>
      <c r="F52" s="1076" t="inlineStr">
        <is>
          <t>六本松</t>
        </is>
      </c>
      <c r="G52" s="1465" t="n"/>
      <c r="H52" s="10" t="n"/>
      <c r="I52" s="1076" t="inlineStr">
        <is>
          <t>高宮</t>
        </is>
      </c>
      <c r="J52" s="1465" t="n"/>
      <c r="K52" s="10" t="n"/>
      <c r="L52" s="1076" t="inlineStr">
        <is>
          <t>西新</t>
        </is>
      </c>
      <c r="M52" s="1465" t="n"/>
      <c r="N52" s="10" t="n"/>
      <c r="O52" s="7" t="n"/>
      <c r="P52" s="7" t="n"/>
    </row>
    <row r="53" ht="13.15" customHeight="1" s="1428">
      <c r="C53" s="45" t="inlineStr">
        <is>
          <t>3A</t>
        </is>
      </c>
      <c r="D53" s="46">
        <f>H32</f>
        <v/>
      </c>
      <c r="E53" s="1119" t="n"/>
      <c r="F53" s="45" t="inlineStr">
        <is>
          <t>6A</t>
        </is>
      </c>
      <c r="G53" s="46">
        <f>P32</f>
        <v/>
      </c>
      <c r="H53" s="1119" t="n"/>
      <c r="I53" s="45" t="inlineStr">
        <is>
          <t>3A</t>
        </is>
      </c>
      <c r="J53" s="46">
        <f>H33</f>
        <v/>
      </c>
      <c r="K53" s="1119" t="n"/>
      <c r="L53" s="45" t="inlineStr">
        <is>
          <t>3A</t>
        </is>
      </c>
      <c r="M53" s="46">
        <f>H33</f>
        <v/>
      </c>
      <c r="N53" s="1183" t="n"/>
    </row>
    <row r="54" ht="13.15" customHeight="1" s="1428">
      <c r="C54" s="45" t="inlineStr">
        <is>
          <t>3B</t>
        </is>
      </c>
      <c r="D54" s="46">
        <f>H34</f>
        <v/>
      </c>
      <c r="E54" s="1119" t="n"/>
      <c r="F54" s="8" t="inlineStr">
        <is>
          <t>6B</t>
        </is>
      </c>
      <c r="G54" s="46">
        <f>P33</f>
        <v/>
      </c>
      <c r="H54" s="1119" t="n"/>
      <c r="I54" s="45" t="inlineStr">
        <is>
          <t>3B</t>
        </is>
      </c>
      <c r="J54" s="46">
        <f>H34</f>
        <v/>
      </c>
      <c r="K54" s="1119" t="n"/>
      <c r="L54" s="45" t="inlineStr">
        <is>
          <t>3B</t>
        </is>
      </c>
      <c r="M54" s="46">
        <f>H34</f>
        <v/>
      </c>
      <c r="N54" s="1183" t="n"/>
    </row>
    <row r="55" ht="13.15" customHeight="1" s="1428">
      <c r="C55" s="45" t="inlineStr">
        <is>
          <t>3C</t>
        </is>
      </c>
      <c r="D55" s="46">
        <f>H34</f>
        <v/>
      </c>
      <c r="E55" s="1119" t="n"/>
      <c r="F55" s="45" t="inlineStr">
        <is>
          <t>6C</t>
        </is>
      </c>
      <c r="G55" s="46">
        <f>P34</f>
        <v/>
      </c>
      <c r="H55" s="1119" t="n"/>
      <c r="I55" s="45" t="inlineStr">
        <is>
          <t>2Ａ</t>
        </is>
      </c>
      <c r="J55" s="46" t="n">
        <v>29</v>
      </c>
      <c r="K55" s="1119" t="n"/>
      <c r="L55" s="45" t="inlineStr">
        <is>
          <t>2Ａ</t>
        </is>
      </c>
      <c r="M55" s="46">
        <f>H35</f>
        <v/>
      </c>
      <c r="N55" s="1183" t="n"/>
    </row>
    <row r="56" ht="13.15" customHeight="1" s="1428">
      <c r="C56" s="45" t="inlineStr">
        <is>
          <t>2T</t>
        </is>
      </c>
      <c r="D56" s="46">
        <f>H35</f>
        <v/>
      </c>
      <c r="E56" s="1119" t="n"/>
      <c r="F56" s="8" t="inlineStr">
        <is>
          <t>5HA</t>
        </is>
      </c>
      <c r="G56" s="46">
        <f>P36</f>
        <v/>
      </c>
      <c r="H56" s="1119" t="n"/>
      <c r="I56" s="45" t="inlineStr">
        <is>
          <t>2Ｂ</t>
        </is>
      </c>
      <c r="J56" s="46">
        <f>H36</f>
        <v/>
      </c>
      <c r="K56" s="1119" t="n"/>
      <c r="L56" s="45" t="inlineStr">
        <is>
          <t>2Ｂ</t>
        </is>
      </c>
      <c r="M56" s="46">
        <f>H36</f>
        <v/>
      </c>
      <c r="N56" s="1183" t="n"/>
    </row>
    <row r="57" ht="13.15" customHeight="1" s="1428">
      <c r="C57" s="45" t="inlineStr">
        <is>
          <t>2A</t>
        </is>
      </c>
      <c r="D57" s="46">
        <f>H36</f>
        <v/>
      </c>
      <c r="E57" s="1119" t="n"/>
      <c r="F57" s="8" t="inlineStr">
        <is>
          <t>5HB・外</t>
        </is>
      </c>
      <c r="G57" s="46">
        <f>P36</f>
        <v/>
      </c>
      <c r="H57" s="1119" t="n"/>
      <c r="I57" s="45" t="inlineStr">
        <is>
          <t>1A</t>
        </is>
      </c>
      <c r="J57" s="46">
        <f>H38</f>
        <v/>
      </c>
      <c r="K57" s="1119" t="n"/>
      <c r="L57" s="45" t="inlineStr">
        <is>
          <t>1A</t>
        </is>
      </c>
      <c r="M57" s="46">
        <f>H38</f>
        <v/>
      </c>
      <c r="N57" s="1183" t="n"/>
    </row>
    <row r="58" ht="13.15" customHeight="1" s="1428">
      <c r="C58" s="45" t="inlineStr">
        <is>
          <t>2B</t>
        </is>
      </c>
      <c r="D58" s="46">
        <f>H36</f>
        <v/>
      </c>
      <c r="E58" s="1119" t="n"/>
      <c r="F58" s="45" t="inlineStr">
        <is>
          <t>4年</t>
        </is>
      </c>
      <c r="G58" s="46">
        <f>P38</f>
        <v/>
      </c>
      <c r="H58" s="1119" t="n"/>
      <c r="I58" s="45" t="inlineStr">
        <is>
          <t>1B</t>
        </is>
      </c>
      <c r="J58" s="46">
        <f>H39</f>
        <v/>
      </c>
      <c r="K58" s="1119" t="n"/>
      <c r="L58" s="45" t="inlineStr">
        <is>
          <t>1B</t>
        </is>
      </c>
      <c r="M58" s="46">
        <f>H39</f>
        <v/>
      </c>
      <c r="N58" s="1183" t="n"/>
    </row>
    <row r="59" ht="13.15" customHeight="1" s="1428">
      <c r="C59" s="45" t="inlineStr">
        <is>
          <t>1T</t>
        </is>
      </c>
      <c r="D59" s="46">
        <f>H38</f>
        <v/>
      </c>
      <c r="E59" s="1119" t="n"/>
      <c r="F59" s="45" t="inlineStr">
        <is>
          <t>4外</t>
        </is>
      </c>
      <c r="G59" s="46">
        <f>P38</f>
        <v/>
      </c>
      <c r="H59" s="1119" t="n"/>
      <c r="I59" s="45" t="inlineStr">
        <is>
          <t>6受</t>
        </is>
      </c>
      <c r="J59" s="46">
        <f>P33</f>
        <v/>
      </c>
      <c r="K59" s="1119" t="n"/>
      <c r="L59" s="45" t="inlineStr">
        <is>
          <t>6受</t>
        </is>
      </c>
      <c r="M59" s="46">
        <f>P33</f>
        <v/>
      </c>
      <c r="N59" s="1183" t="n"/>
    </row>
    <row r="60" ht="13.15" customHeight="1" s="1428">
      <c r="C60" s="45" t="inlineStr">
        <is>
          <t>1A</t>
        </is>
      </c>
      <c r="D60" s="46">
        <f>H39</f>
        <v/>
      </c>
      <c r="E60" s="1119" t="n"/>
      <c r="F60" s="8" t="inlineStr">
        <is>
          <t>5HA算数講座</t>
        </is>
      </c>
      <c r="G60" s="46">
        <f>$M$41</f>
        <v/>
      </c>
      <c r="H60" s="1119" t="n"/>
      <c r="I60" s="45" t="inlineStr">
        <is>
          <t>6通</t>
        </is>
      </c>
      <c r="J60" s="46">
        <f>P34</f>
        <v/>
      </c>
      <c r="K60" s="1119" t="n"/>
      <c r="L60" s="45" t="inlineStr">
        <is>
          <t>6通</t>
        </is>
      </c>
      <c r="M60" s="46">
        <f>P34</f>
        <v/>
      </c>
      <c r="N60" s="1183" t="n"/>
    </row>
    <row r="61" ht="13.15" customHeight="1" s="1428">
      <c r="C61" s="231" t="n"/>
      <c r="D61" s="231" t="n"/>
      <c r="E61" s="1119" t="n"/>
      <c r="F61" s="8" t="inlineStr">
        <is>
          <t>5HA社会講座</t>
        </is>
      </c>
      <c r="G61" s="46">
        <f>$N$41</f>
        <v/>
      </c>
      <c r="H61" s="1119" t="n"/>
      <c r="I61" s="45" t="inlineStr">
        <is>
          <t>5H</t>
        </is>
      </c>
      <c r="J61" s="46">
        <f>P36</f>
        <v/>
      </c>
      <c r="K61" s="1119" t="n"/>
      <c r="L61" s="45" t="inlineStr">
        <is>
          <t>5H</t>
        </is>
      </c>
      <c r="M61" s="46">
        <f>P36</f>
        <v/>
      </c>
      <c r="N61" s="1183" t="n"/>
    </row>
    <row r="62" ht="13.15" customHeight="1" s="1428">
      <c r="C62" s="231" t="n"/>
      <c r="D62" s="231" t="n"/>
      <c r="E62" s="1119" t="n"/>
      <c r="F62" s="8" t="inlineStr">
        <is>
          <t>5HA理科講座</t>
        </is>
      </c>
      <c r="G62" s="46">
        <f>$O$41</f>
        <v/>
      </c>
      <c r="H62" s="1119" t="n"/>
      <c r="I62" s="45" t="inlineStr">
        <is>
          <t>4年</t>
        </is>
      </c>
      <c r="J62" s="46">
        <f>P38</f>
        <v/>
      </c>
      <c r="K62" s="1119" t="n"/>
      <c r="L62" s="45" t="inlineStr">
        <is>
          <t>4年</t>
        </is>
      </c>
      <c r="M62" s="46">
        <f>P38</f>
        <v/>
      </c>
      <c r="N62" s="1183" t="n"/>
    </row>
    <row r="63" ht="13.15" customHeight="1" s="1428">
      <c r="C63" s="14" t="n"/>
      <c r="D63" s="14" t="n"/>
      <c r="E63" s="1119" t="n"/>
      <c r="F63" s="45" t="inlineStr">
        <is>
          <t>4年算数講座</t>
        </is>
      </c>
      <c r="G63" s="46">
        <f>$L$41</f>
        <v/>
      </c>
      <c r="H63" s="1119" t="n"/>
      <c r="I63" s="45" t="inlineStr">
        <is>
          <t>5年算数講座</t>
        </is>
      </c>
      <c r="J63" s="46">
        <f>$M$41</f>
        <v/>
      </c>
      <c r="K63" s="1119" t="n"/>
      <c r="L63" s="45" t="inlineStr">
        <is>
          <t>5年算数講座</t>
        </is>
      </c>
      <c r="M63" s="46">
        <f>$M$41</f>
        <v/>
      </c>
      <c r="N63" s="1183" t="n"/>
    </row>
    <row r="64" ht="13.15" customHeight="1" s="1428">
      <c r="C64" s="14" t="n"/>
      <c r="D64" s="14" t="n"/>
      <c r="E64" s="1119" t="n"/>
      <c r="F64" s="14" t="n"/>
      <c r="G64" s="14" t="n"/>
      <c r="H64" s="1119" t="n"/>
      <c r="I64" s="45" t="inlineStr">
        <is>
          <t>5年社会講座</t>
        </is>
      </c>
      <c r="J64" s="46">
        <f>$N$41</f>
        <v/>
      </c>
      <c r="K64" s="1119" t="n"/>
      <c r="L64" s="45" t="inlineStr">
        <is>
          <t>5年社会講座</t>
        </is>
      </c>
      <c r="M64" s="46">
        <f>$N$41</f>
        <v/>
      </c>
      <c r="N64" s="1183" t="n"/>
    </row>
    <row r="65" ht="13.15" customHeight="1" s="1428">
      <c r="C65" s="14" t="n"/>
      <c r="D65" s="14" t="n"/>
      <c r="E65" s="1119" t="n"/>
      <c r="F65" s="231" t="n"/>
      <c r="G65" s="231" t="n"/>
      <c r="H65" s="1119" t="n"/>
      <c r="I65" s="1194" t="inlineStr">
        <is>
          <t>5年理科講座</t>
        </is>
      </c>
      <c r="J65" s="46">
        <f>$O$41</f>
        <v/>
      </c>
      <c r="K65" s="1119" t="n"/>
      <c r="L65" s="1194" t="inlineStr">
        <is>
          <t>5年理科講座</t>
        </is>
      </c>
      <c r="M65" s="46">
        <f>$O$41</f>
        <v/>
      </c>
      <c r="N65" s="1183" t="n"/>
    </row>
    <row r="66" ht="13.15" customHeight="1" s="1428">
      <c r="C66" s="231" t="n"/>
      <c r="D66" s="231" t="n"/>
      <c r="E66" s="93" t="n"/>
      <c r="F66" s="231" t="n"/>
      <c r="G66" s="231" t="n"/>
      <c r="H66" s="1119" t="n"/>
      <c r="I66" s="45" t="inlineStr">
        <is>
          <t>4年算数講座</t>
        </is>
      </c>
      <c r="J66" s="46">
        <f>$L$41</f>
        <v/>
      </c>
      <c r="K66" s="1119" t="n"/>
      <c r="L66" s="45" t="inlineStr">
        <is>
          <t>4年算数講座</t>
        </is>
      </c>
      <c r="M66" s="46">
        <f>$L$41</f>
        <v/>
      </c>
      <c r="N66" s="1183" t="n"/>
    </row>
    <row r="67" ht="13.15" customHeight="1" s="1428">
      <c r="C67" s="8" t="n"/>
      <c r="D67" s="47" t="n"/>
      <c r="E67" s="19" t="n"/>
      <c r="F67" s="14" t="n"/>
      <c r="G67" s="14" t="n"/>
      <c r="H67" s="10" t="n"/>
      <c r="I67" s="50" t="inlineStr">
        <is>
          <t> </t>
        </is>
      </c>
      <c r="J67" s="47" t="inlineStr">
        <is>
          <t> </t>
        </is>
      </c>
      <c r="K67" s="10" t="n"/>
      <c r="L67" s="50" t="n"/>
      <c r="M67" s="47" t="n"/>
      <c r="N67" s="15" t="n"/>
    </row>
    <row r="68" ht="13.15" customHeight="1" s="1428">
      <c r="C68" s="52" t="inlineStr">
        <is>
          <t>合計</t>
        </is>
      </c>
      <c r="D68" s="53">
        <f>SUM(D53:D67)</f>
        <v/>
      </c>
      <c r="E68" s="54" t="n"/>
      <c r="F68" s="53" t="inlineStr">
        <is>
          <t>合計</t>
        </is>
      </c>
      <c r="G68" s="53">
        <f>SUM(G53:G67)</f>
        <v/>
      </c>
      <c r="H68" s="55" t="n"/>
      <c r="I68" s="53" t="inlineStr">
        <is>
          <t>合計</t>
        </is>
      </c>
      <c r="J68" s="53">
        <f>SUM(J53:J67)</f>
        <v/>
      </c>
      <c r="K68" s="54" t="n"/>
      <c r="L68" s="53" t="inlineStr">
        <is>
          <t>合計</t>
        </is>
      </c>
      <c r="M68" s="53">
        <f>SUM(M53:M67)</f>
        <v/>
      </c>
      <c r="N68" s="7" t="n"/>
      <c r="O68" s="1466" t="inlineStr">
        <is>
          <t>➡合計</t>
        </is>
      </c>
      <c r="P68" s="56">
        <f>SUM(D68+G68+J68+M68)</f>
        <v/>
      </c>
      <c r="Q68" s="57" t="inlineStr">
        <is>
          <t>差</t>
        </is>
      </c>
      <c r="R68" s="138" t="n"/>
    </row>
    <row r="69" ht="13.15" customHeight="1" s="1428">
      <c r="C69" s="53" t="inlineStr">
        <is>
          <t>可能数</t>
        </is>
      </c>
      <c r="D69" s="53">
        <f>82*7</f>
        <v/>
      </c>
      <c r="E69" s="54" t="n"/>
      <c r="F69" s="53" t="inlineStr">
        <is>
          <t>可能数</t>
        </is>
      </c>
      <c r="G69" s="53">
        <f>82*4</f>
        <v/>
      </c>
      <c r="H69" s="55" t="n"/>
      <c r="I69" s="53" t="inlineStr">
        <is>
          <t>可能数</t>
        </is>
      </c>
      <c r="J69" s="53">
        <f>82*8</f>
        <v/>
      </c>
      <c r="K69" s="54" t="n"/>
      <c r="L69" s="53" t="inlineStr">
        <is>
          <t>可能数</t>
        </is>
      </c>
      <c r="M69" s="53">
        <f>82*6</f>
        <v/>
      </c>
      <c r="N69" s="7" t="n"/>
      <c r="O69" s="58" t="inlineStr">
        <is>
          <t>(昨年)</t>
        </is>
      </c>
      <c r="P69" s="56">
        <f>D71+G71+J71+M71</f>
        <v/>
      </c>
      <c r="Q69" s="59">
        <f>P68-P69</f>
        <v/>
      </c>
      <c r="R69" s="15" t="n"/>
    </row>
    <row r="70" ht="6" customHeight="1" s="1428">
      <c r="C70" s="54" t="n"/>
      <c r="D70" s="54" t="n"/>
      <c r="E70" s="54" t="n"/>
      <c r="F70" s="54" t="n"/>
      <c r="G70" s="54" t="n"/>
      <c r="H70" s="55" t="n"/>
      <c r="I70" s="54" t="n"/>
      <c r="J70" s="54" t="n"/>
      <c r="K70" s="54" t="n"/>
      <c r="L70" s="54" t="n"/>
      <c r="M70" s="54" t="n"/>
      <c r="N70" s="7" t="n"/>
      <c r="O70" s="58" t="n"/>
      <c r="P70" s="56" t="n"/>
      <c r="Q70" s="15" t="n"/>
      <c r="R70" s="15" t="n"/>
    </row>
    <row r="71" ht="13.15" customHeight="1" s="1428">
      <c r="C71" s="60" t="inlineStr">
        <is>
          <t>（昨年）</t>
        </is>
      </c>
      <c r="D71" s="54" t="n">
        <v>281</v>
      </c>
      <c r="E71" s="54" t="n"/>
      <c r="F71" s="60" t="inlineStr">
        <is>
          <t>（昨年）</t>
        </is>
      </c>
      <c r="G71" s="54" t="n">
        <v>164</v>
      </c>
      <c r="H71" s="55" t="n"/>
      <c r="I71" s="60" t="inlineStr">
        <is>
          <t>（昨年）</t>
        </is>
      </c>
      <c r="J71" s="54" t="n">
        <v>264</v>
      </c>
      <c r="K71" s="54" t="n"/>
      <c r="L71" s="60" t="inlineStr">
        <is>
          <t>（昨年）</t>
        </is>
      </c>
      <c r="M71" s="54" t="n">
        <v>293</v>
      </c>
      <c r="N71" s="7" t="n"/>
      <c r="O71" s="58" t="n"/>
      <c r="P71" s="56" t="n"/>
      <c r="Q71" s="15" t="n"/>
      <c r="R71" s="15" t="n"/>
    </row>
    <row r="72" ht="13.15" customHeight="1" s="1428">
      <c r="C72" s="61" t="inlineStr">
        <is>
          <t>差</t>
        </is>
      </c>
      <c r="D72" s="62">
        <f>D68-D71</f>
        <v/>
      </c>
      <c r="E72" s="63" t="n"/>
      <c r="F72" s="61" t="inlineStr">
        <is>
          <t>差</t>
        </is>
      </c>
      <c r="G72" s="62">
        <f>G68-G71</f>
        <v/>
      </c>
      <c r="H72" s="64" t="n"/>
      <c r="I72" s="61" t="inlineStr">
        <is>
          <t>差</t>
        </is>
      </c>
      <c r="J72" s="62">
        <f>J68-J71</f>
        <v/>
      </c>
      <c r="K72" s="63" t="n"/>
      <c r="L72" s="61" t="inlineStr">
        <is>
          <t>差</t>
        </is>
      </c>
      <c r="M72" s="62">
        <f>M68-M71</f>
        <v/>
      </c>
      <c r="N72" s="7" t="n"/>
      <c r="O72" s="7" t="n"/>
      <c r="P72" s="7" t="n"/>
    </row>
    <row r="73" ht="13.15" customHeight="1" s="1428">
      <c r="C73" s="924" t="n"/>
      <c r="D73" s="54" t="n"/>
      <c r="E73" s="54" t="n"/>
      <c r="F73" s="924" t="n"/>
      <c r="G73" s="54" t="n"/>
      <c r="H73" s="55" t="n"/>
      <c r="I73" s="924" t="n"/>
      <c r="J73" s="54" t="n"/>
      <c r="K73" s="54" t="n"/>
      <c r="L73" s="924" t="n"/>
      <c r="M73" s="54" t="n"/>
      <c r="N73" s="7" t="n"/>
      <c r="O73" s="7" t="n"/>
      <c r="P73" s="7" t="n"/>
    </row>
    <row r="74" ht="20.25" customFormat="1" customHeight="1" s="1080" thickBot="1">
      <c r="B74" s="1079" t="inlineStr">
        <is>
          <t>３．担当者（●：変更・新規、★：飛び）</t>
        </is>
      </c>
    </row>
    <row r="75" ht="20.25" customHeight="1" s="1428" thickBot="1">
      <c r="A75" s="661" t="inlineStr">
        <is>
          <t>在校生数</t>
        </is>
      </c>
      <c r="B75" s="1081" t="inlineStr">
        <is>
          <t>梅光園</t>
        </is>
      </c>
      <c r="C75" s="1467" t="n"/>
      <c r="D75" s="1467" t="n"/>
      <c r="E75" s="1467" t="n"/>
      <c r="F75" s="1467" t="n"/>
      <c r="G75" s="1467" t="n"/>
      <c r="H75" s="1468" t="n"/>
      <c r="I75" s="661" t="inlineStr">
        <is>
          <t>在校生数</t>
        </is>
      </c>
      <c r="J75" s="1081" t="inlineStr">
        <is>
          <t>六本松</t>
        </is>
      </c>
      <c r="K75" s="1467" t="n"/>
      <c r="L75" s="1467" t="n"/>
      <c r="M75" s="1467" t="n"/>
      <c r="N75" s="1467" t="n"/>
      <c r="O75" s="1467" t="n"/>
      <c r="P75" s="1468" t="n"/>
      <c r="W75" s="1119" t="n"/>
    </row>
    <row r="76" ht="20.25" customHeight="1" s="1428" thickBot="1" thickTop="1">
      <c r="B76" s="949" t="inlineStr">
        <is>
          <t>クラス</t>
        </is>
      </c>
      <c r="C76" s="950" t="inlineStr">
        <is>
          <t>担任</t>
        </is>
      </c>
      <c r="D76" s="951" t="inlineStr">
        <is>
          <t>国語</t>
        </is>
      </c>
      <c r="E76" s="952" t="inlineStr">
        <is>
          <t>数学</t>
        </is>
      </c>
      <c r="F76" s="952" t="inlineStr">
        <is>
          <t>社会</t>
        </is>
      </c>
      <c r="G76" s="952" t="inlineStr">
        <is>
          <t>理科</t>
        </is>
      </c>
      <c r="H76" s="954" t="inlineStr">
        <is>
          <t>英語</t>
        </is>
      </c>
      <c r="I76" s="10" t="n"/>
      <c r="J76" s="949" t="inlineStr">
        <is>
          <t>クラス</t>
        </is>
      </c>
      <c r="K76" s="950" t="inlineStr">
        <is>
          <t>担任</t>
        </is>
      </c>
      <c r="L76" s="951" t="inlineStr">
        <is>
          <t>国語</t>
        </is>
      </c>
      <c r="M76" s="952" t="inlineStr">
        <is>
          <t>算数</t>
        </is>
      </c>
      <c r="N76" s="952" t="inlineStr">
        <is>
          <t>社会</t>
        </is>
      </c>
      <c r="O76" s="952" t="inlineStr">
        <is>
          <t>理科</t>
        </is>
      </c>
      <c r="P76" s="953" t="inlineStr">
        <is>
          <t>算数講座</t>
        </is>
      </c>
      <c r="W76" s="10" t="n"/>
    </row>
    <row r="77" ht="20.25" customHeight="1" s="1428" thickTop="1">
      <c r="A77" s="657" t="n">
        <v>18</v>
      </c>
      <c r="B77" s="975" t="inlineStr">
        <is>
          <t>3特</t>
        </is>
      </c>
      <c r="C77" s="985" t="inlineStr">
        <is>
          <t>黒岩</t>
        </is>
      </c>
      <c r="D77" s="160" t="inlineStr">
        <is>
          <t>日高9</t>
        </is>
      </c>
      <c r="E77" s="1195" t="inlineStr">
        <is>
          <t>黒岩14</t>
        </is>
      </c>
      <c r="F77" s="1195" t="inlineStr">
        <is>
          <t>藤田9</t>
        </is>
      </c>
      <c r="G77" s="1195" t="inlineStr">
        <is>
          <t>和久9</t>
        </is>
      </c>
      <c r="H77" s="1199" t="inlineStr">
        <is>
          <t>土井下13</t>
        </is>
      </c>
      <c r="I77" s="658" t="n">
        <v>11</v>
      </c>
      <c r="J77" s="998" t="inlineStr">
        <is>
          <t>6受A</t>
        </is>
      </c>
      <c r="K77" s="999" t="inlineStr">
        <is>
          <t>日高</t>
        </is>
      </c>
      <c r="L77" s="208" t="inlineStr">
        <is>
          <t>日高11</t>
        </is>
      </c>
      <c r="M77" s="1195" t="inlineStr">
        <is>
          <t>黒岩17</t>
        </is>
      </c>
      <c r="N77" s="1195" t="inlineStr">
        <is>
          <t>藤田12</t>
        </is>
      </c>
      <c r="O77" s="1195" t="inlineStr">
        <is>
          <t>和久12</t>
        </is>
      </c>
      <c r="P77" s="209" t="n"/>
      <c r="T77" s="660" t="inlineStr">
        <is>
          <t>国</t>
        </is>
      </c>
      <c r="U77" s="4">
        <f>14+13+13+8+8+8+7+7+17+17+7+7+7+7+7+13+13+8+8+7+7+17+7+7+7+13+13+8+8+7+7+17+7+7+7</f>
        <v/>
      </c>
      <c r="W77" s="1119" t="n"/>
    </row>
    <row r="78" ht="20.25" customHeight="1" s="1428">
      <c r="A78" s="657" t="n">
        <v>29</v>
      </c>
      <c r="B78" s="975" t="inlineStr">
        <is>
          <t>公立A</t>
        </is>
      </c>
      <c r="C78" s="985" t="inlineStr">
        <is>
          <t>岡野</t>
        </is>
      </c>
      <c r="D78" s="160" t="inlineStr">
        <is>
          <t>長本8</t>
        </is>
      </c>
      <c r="E78" s="1195" t="inlineStr">
        <is>
          <t>平井12</t>
        </is>
      </c>
      <c r="F78" s="1195" t="inlineStr">
        <is>
          <t>岡野9</t>
        </is>
      </c>
      <c r="G78" s="1195" t="inlineStr">
        <is>
          <t>平野9</t>
        </is>
      </c>
      <c r="H78" s="1199" t="inlineStr">
        <is>
          <t>土井下10</t>
        </is>
      </c>
      <c r="I78" s="658" t="n">
        <v>25</v>
      </c>
      <c r="J78" s="989" t="inlineStr">
        <is>
          <t>6受B</t>
        </is>
      </c>
      <c r="K78" s="995" t="inlineStr">
        <is>
          <t>平野</t>
        </is>
      </c>
      <c r="L78" s="113" t="inlineStr">
        <is>
          <t>日高9</t>
        </is>
      </c>
      <c r="M78" s="113" t="inlineStr">
        <is>
          <t>平井13</t>
        </is>
      </c>
      <c r="N78" s="113" t="inlineStr">
        <is>
          <t>岡野10</t>
        </is>
      </c>
      <c r="O78" s="238" t="inlineStr">
        <is>
          <t>平野10</t>
        </is>
      </c>
      <c r="P78" s="213" t="n"/>
      <c r="T78" s="660" t="inlineStr">
        <is>
          <t>数</t>
        </is>
      </c>
      <c r="U78" s="4">
        <f>22+18+18+13+12+12+10+13+23+21+9+7+7+7+7+7+6+20+18+13+12+13+10+21+9+7+7+7+6+20+18+13+12+13+10+21+9+7+7+7+6</f>
        <v/>
      </c>
      <c r="W78" s="1119" t="n"/>
    </row>
    <row r="79" ht="20.25" customHeight="1" s="1428" thickBot="1">
      <c r="A79" s="657" t="n">
        <v>43</v>
      </c>
      <c r="B79" s="991" t="inlineStr">
        <is>
          <t>公立B</t>
        </is>
      </c>
      <c r="C79" s="996" t="inlineStr">
        <is>
          <t>長本</t>
        </is>
      </c>
      <c r="D79" s="164" t="inlineStr">
        <is>
          <t>長本8</t>
        </is>
      </c>
      <c r="E79" s="105" t="inlineStr">
        <is>
          <t>平井12</t>
        </is>
      </c>
      <c r="F79" s="105" t="inlineStr">
        <is>
          <t>岡野9</t>
        </is>
      </c>
      <c r="G79" s="105" t="inlineStr">
        <is>
          <t>大山9</t>
        </is>
      </c>
      <c r="H79" s="157" t="inlineStr">
        <is>
          <t>原10</t>
        </is>
      </c>
      <c r="I79" s="658" t="n">
        <v>38</v>
      </c>
      <c r="J79" s="991" t="inlineStr">
        <is>
          <t>6通</t>
        </is>
      </c>
      <c r="K79" s="996" t="inlineStr">
        <is>
          <t>平井</t>
        </is>
      </c>
      <c r="L79" s="669" t="inlineStr">
        <is>
          <t>日高4</t>
        </is>
      </c>
      <c r="M79" s="105" t="inlineStr">
        <is>
          <t>平井5</t>
        </is>
      </c>
      <c r="N79" s="165" t="inlineStr">
        <is>
          <t>★長本3</t>
        </is>
      </c>
      <c r="O79" s="105" t="inlineStr">
        <is>
          <t>平野3</t>
        </is>
      </c>
      <c r="P79" s="237" t="n"/>
      <c r="T79" s="660" t="inlineStr">
        <is>
          <t>社</t>
        </is>
      </c>
      <c r="U79" s="4">
        <f>16+13+13+10+10+10+7+7+19+16+8+7+7+3+3+6+13+13+10+10+7+7+16+8+7+3+6+13+13+10+10+7+7+16+8+7+3+6</f>
        <v/>
      </c>
      <c r="W79" s="10" t="n"/>
    </row>
    <row r="80" ht="20.25" customHeight="1" s="1428">
      <c r="A80" s="657" t="n">
        <v>22</v>
      </c>
      <c r="B80" s="982" t="inlineStr">
        <is>
          <t>2特</t>
        </is>
      </c>
      <c r="C80" s="987" t="inlineStr">
        <is>
          <t>土井下</t>
        </is>
      </c>
      <c r="D80" s="217" t="inlineStr">
        <is>
          <t>日高5</t>
        </is>
      </c>
      <c r="E80" s="158" t="inlineStr">
        <is>
          <t>黒岩7</t>
        </is>
      </c>
      <c r="F80" s="158" t="inlineStr">
        <is>
          <t>岡野5</t>
        </is>
      </c>
      <c r="G80" s="158" t="inlineStr">
        <is>
          <t>和久5</t>
        </is>
      </c>
      <c r="H80" s="166" t="inlineStr">
        <is>
          <t>土井下7</t>
        </is>
      </c>
      <c r="I80" s="658" t="n">
        <v>19</v>
      </c>
      <c r="J80" s="975" t="inlineStr">
        <is>
          <t>5HA</t>
        </is>
      </c>
      <c r="K80" s="985" t="inlineStr">
        <is>
          <t>日高</t>
        </is>
      </c>
      <c r="L80" s="160" t="inlineStr">
        <is>
          <t>日高3</t>
        </is>
      </c>
      <c r="M80" s="159" t="inlineStr">
        <is>
          <t>★古賀4</t>
        </is>
      </c>
      <c r="N80" s="159" t="inlineStr">
        <is>
          <t>★岡野3</t>
        </is>
      </c>
      <c r="O80" s="159" t="inlineStr">
        <is>
          <t>★大山3</t>
        </is>
      </c>
      <c r="P80" s="1195" t="inlineStr">
        <is>
          <t>平井5</t>
        </is>
      </c>
      <c r="T80" s="660" t="inlineStr">
        <is>
          <t>理</t>
        </is>
      </c>
      <c r="U80" s="4">
        <f>16+13+13+11+9+9+7+7+17+16+8+7+7+3+3+6+13+13+11+9+7+7+16+8+7+3+6+13+13+11+9+7+7+16+8+7+3+6</f>
        <v/>
      </c>
      <c r="W80" s="1119" t="n"/>
    </row>
    <row r="81" ht="20.25" customHeight="1" s="1428" thickBot="1">
      <c r="A81" s="1048" t="n">
        <v>39</v>
      </c>
      <c r="B81" s="975" t="inlineStr">
        <is>
          <t>2A(S)</t>
        </is>
      </c>
      <c r="C81" s="985" t="inlineStr">
        <is>
          <t>岡野</t>
        </is>
      </c>
      <c r="D81" s="208" t="inlineStr">
        <is>
          <t>長本5</t>
        </is>
      </c>
      <c r="E81" s="1195" t="inlineStr">
        <is>
          <t>黒岩6</t>
        </is>
      </c>
      <c r="F81" s="1195" t="inlineStr">
        <is>
          <t>岡野5</t>
        </is>
      </c>
      <c r="G81" s="1195" t="inlineStr">
        <is>
          <t>大山5</t>
        </is>
      </c>
      <c r="H81" s="1199" t="inlineStr">
        <is>
          <t>原6</t>
        </is>
      </c>
      <c r="I81" s="658" t="n">
        <v>19</v>
      </c>
      <c r="J81" s="989" t="inlineStr">
        <is>
          <t>5HB</t>
        </is>
      </c>
      <c r="K81" s="986" t="inlineStr">
        <is>
          <t>平井</t>
        </is>
      </c>
      <c r="L81" s="239" t="inlineStr">
        <is>
          <t>日高3</t>
        </is>
      </c>
      <c r="M81" s="101" t="inlineStr">
        <is>
          <t>平井4</t>
        </is>
      </c>
      <c r="N81" s="1001" t="inlineStr">
        <is>
          <t>★長本3</t>
        </is>
      </c>
      <c r="O81" s="101" t="inlineStr">
        <is>
          <t>平野3</t>
        </is>
      </c>
      <c r="P81" s="211" t="n"/>
      <c r="T81" s="660" t="inlineStr">
        <is>
          <t>英</t>
        </is>
      </c>
      <c r="U81" s="4">
        <f>20+15+15+16+12+12+10+12+18+15+16+12+12+10+18+15+16+12+12+10</f>
        <v/>
      </c>
      <c r="W81" s="1119" t="n"/>
    </row>
    <row r="82" ht="20.25" customHeight="1" s="1428" thickBot="1">
      <c r="A82" s="1048" t="n">
        <v>20</v>
      </c>
      <c r="B82" s="977" t="inlineStr">
        <is>
          <t>2B(S)</t>
        </is>
      </c>
      <c r="C82" s="986" t="inlineStr">
        <is>
          <t>黒岩</t>
        </is>
      </c>
      <c r="D82" s="100" t="inlineStr">
        <is>
          <t>長本5</t>
        </is>
      </c>
      <c r="E82" s="101" t="inlineStr">
        <is>
          <t>黒岩6</t>
        </is>
      </c>
      <c r="F82" s="101" t="inlineStr">
        <is>
          <t>岡野5</t>
        </is>
      </c>
      <c r="G82" s="101" t="inlineStr">
        <is>
          <t>大山5</t>
        </is>
      </c>
      <c r="H82" s="216" t="inlineStr">
        <is>
          <t>原6</t>
        </is>
      </c>
      <c r="I82" s="658" t="n">
        <v>42</v>
      </c>
      <c r="J82" s="1000" t="inlineStr">
        <is>
          <t>4年</t>
        </is>
      </c>
      <c r="K82" s="999" t="inlineStr">
        <is>
          <t>平野</t>
        </is>
      </c>
      <c r="L82" s="1022" t="inlineStr">
        <is>
          <t>日高3</t>
        </is>
      </c>
      <c r="M82" s="276" t="inlineStr">
        <is>
          <t>平野3</t>
        </is>
      </c>
      <c r="N82" s="1023" t="n"/>
      <c r="O82" s="1023" t="n"/>
      <c r="P82" s="90" t="inlineStr">
        <is>
          <t>平野3</t>
        </is>
      </c>
      <c r="W82" s="1119" t="n"/>
    </row>
    <row r="83" ht="20.25" customHeight="1" s="1428" thickBot="1" thickTop="1">
      <c r="A83" s="657" t="n">
        <v>23</v>
      </c>
      <c r="B83" s="982" t="inlineStr">
        <is>
          <t>1特</t>
        </is>
      </c>
      <c r="C83" s="987" t="inlineStr">
        <is>
          <t>土井下</t>
        </is>
      </c>
      <c r="D83" s="217" t="inlineStr">
        <is>
          <t>長本4</t>
        </is>
      </c>
      <c r="E83" s="158" t="inlineStr">
        <is>
          <t>●平野6</t>
        </is>
      </c>
      <c r="F83" s="926" t="inlineStr">
        <is>
          <t>●右田4</t>
        </is>
      </c>
      <c r="G83" s="158" t="inlineStr">
        <is>
          <t>大山4</t>
        </is>
      </c>
      <c r="H83" s="166" t="inlineStr">
        <is>
          <t>土井下8</t>
        </is>
      </c>
      <c r="I83" s="658" t="n"/>
      <c r="J83" s="1469" t="inlineStr">
        <is>
          <t>5年特別講座</t>
        </is>
      </c>
      <c r="K83" s="1470" t="n"/>
      <c r="L83" s="1024" t="inlineStr">
        <is>
          <t>社会</t>
        </is>
      </c>
      <c r="M83" s="1025" t="inlineStr">
        <is>
          <t>●岡野5</t>
        </is>
      </c>
      <c r="N83" s="1026" t="inlineStr">
        <is>
          <t>理科</t>
        </is>
      </c>
      <c r="O83" s="1025" t="inlineStr">
        <is>
          <t>●平野4</t>
        </is>
      </c>
      <c r="P83" s="1027" t="n"/>
      <c r="W83" s="1119" t="n"/>
    </row>
    <row r="84" ht="20.25" customHeight="1" s="1428" thickBot="1">
      <c r="A84" s="657" t="n">
        <v>46</v>
      </c>
      <c r="B84" s="991" t="inlineStr">
        <is>
          <t>1A(S)</t>
        </is>
      </c>
      <c r="C84" s="996" t="inlineStr">
        <is>
          <t>大山</t>
        </is>
      </c>
      <c r="D84" s="164" t="inlineStr">
        <is>
          <t>長本4</t>
        </is>
      </c>
      <c r="E84" s="105" t="inlineStr">
        <is>
          <t>平野5</t>
        </is>
      </c>
      <c r="F84" s="165" t="inlineStr">
        <is>
          <t>●右田4</t>
        </is>
      </c>
      <c r="G84" s="105" t="inlineStr">
        <is>
          <t>大山4</t>
        </is>
      </c>
      <c r="H84" s="157" t="inlineStr">
        <is>
          <t>原5</t>
        </is>
      </c>
      <c r="I84" s="659" t="n"/>
      <c r="J84" s="1084" t="n"/>
      <c r="K84" s="1471" t="n"/>
      <c r="L84" s="10" t="n"/>
      <c r="N84" s="1084" t="inlineStr">
        <is>
          <t>まなブリッジ：</t>
        </is>
      </c>
      <c r="O84" s="1471" t="n"/>
      <c r="P84" s="1062" t="inlineStr">
        <is>
          <t>担当者?</t>
        </is>
      </c>
      <c r="W84" s="1119" t="n"/>
    </row>
    <row r="85" ht="20.25" customHeight="1" s="1428">
      <c r="A85" s="657" t="n"/>
      <c r="B85" s="1084" t="inlineStr">
        <is>
          <t>高校：</t>
        </is>
      </c>
      <c r="C85" s="1471" t="n"/>
      <c r="D85" s="1062" t="inlineStr">
        <is>
          <t>原5?</t>
        </is>
      </c>
      <c r="E85" s="1119" t="n"/>
      <c r="F85" s="1084" t="inlineStr">
        <is>
          <t>まなブリッジ：</t>
        </is>
      </c>
      <c r="G85" s="1471" t="n"/>
      <c r="H85" s="1062" t="inlineStr">
        <is>
          <t>担当者?</t>
        </is>
      </c>
      <c r="I85" s="658" t="n"/>
      <c r="J85" s="1119" t="n"/>
      <c r="K85" s="1085" t="n"/>
      <c r="M85" s="10" t="n"/>
      <c r="N85" s="10" t="n"/>
      <c r="O85" s="10" t="n"/>
      <c r="P85" s="10" t="n"/>
      <c r="W85" s="10" t="n"/>
    </row>
    <row r="86" ht="20.25" customHeight="1" s="1428" thickBot="1">
      <c r="A86" s="657" t="n"/>
      <c r="I86" s="658" t="n"/>
      <c r="J86" s="93" t="n"/>
      <c r="K86" s="93" t="n"/>
      <c r="L86" s="10" t="n"/>
      <c r="M86" s="10" t="n"/>
      <c r="N86" s="10" t="n"/>
      <c r="O86" s="10" t="n"/>
      <c r="P86" s="10" t="n"/>
      <c r="W86" s="1119" t="n"/>
    </row>
    <row r="87" ht="20.25" customHeight="1" s="1428" thickBot="1">
      <c r="A87" s="657" t="n"/>
      <c r="B87" s="1472" t="inlineStr">
        <is>
          <t>高宮</t>
        </is>
      </c>
      <c r="C87" s="1467" t="n"/>
      <c r="D87" s="1467" t="n"/>
      <c r="E87" s="1467" t="n"/>
      <c r="F87" s="1467" t="n"/>
      <c r="G87" s="1467" t="n"/>
      <c r="H87" s="1473" t="n"/>
      <c r="I87" s="658" t="n"/>
      <c r="J87" s="1472" t="inlineStr">
        <is>
          <t>西新</t>
        </is>
      </c>
      <c r="K87" s="1467" t="n"/>
      <c r="L87" s="1467" t="n"/>
      <c r="M87" s="1467" t="n"/>
      <c r="N87" s="1467" t="n"/>
      <c r="O87" s="1467" t="n"/>
      <c r="P87" s="1473" t="n"/>
      <c r="W87" s="10" t="n"/>
    </row>
    <row r="88" ht="20.25" customHeight="1" s="1428" thickBot="1" thickTop="1">
      <c r="A88" s="657" t="n"/>
      <c r="B88" s="955" t="inlineStr">
        <is>
          <t>クラス</t>
        </is>
      </c>
      <c r="C88" s="956" t="inlineStr">
        <is>
          <t>担任</t>
        </is>
      </c>
      <c r="D88" s="957" t="inlineStr">
        <is>
          <t>国語</t>
        </is>
      </c>
      <c r="E88" s="958" t="inlineStr">
        <is>
          <t>数学</t>
        </is>
      </c>
      <c r="F88" s="958" t="inlineStr">
        <is>
          <t>社会</t>
        </is>
      </c>
      <c r="G88" s="958" t="inlineStr">
        <is>
          <t>理科</t>
        </is>
      </c>
      <c r="H88" s="959" t="inlineStr">
        <is>
          <t>英語</t>
        </is>
      </c>
      <c r="I88" s="658" t="n"/>
      <c r="J88" s="955" t="inlineStr">
        <is>
          <t>クラス</t>
        </is>
      </c>
      <c r="K88" s="956" t="inlineStr">
        <is>
          <t>担任</t>
        </is>
      </c>
      <c r="L88" s="957" t="inlineStr">
        <is>
          <t>国語</t>
        </is>
      </c>
      <c r="M88" s="958" t="inlineStr">
        <is>
          <t>数学</t>
        </is>
      </c>
      <c r="N88" s="958" t="inlineStr">
        <is>
          <t>社会</t>
        </is>
      </c>
      <c r="O88" s="958" t="inlineStr">
        <is>
          <t>理科</t>
        </is>
      </c>
      <c r="P88" s="959" t="inlineStr">
        <is>
          <t>英語</t>
        </is>
      </c>
      <c r="W88" s="1119" t="n"/>
    </row>
    <row r="89" ht="20.25" customHeight="1" s="1428" thickTop="1">
      <c r="A89" s="657" t="n">
        <v>20</v>
      </c>
      <c r="B89" s="975" t="inlineStr">
        <is>
          <t>3A</t>
        </is>
      </c>
      <c r="C89" s="976" t="inlineStr">
        <is>
          <t>中村</t>
        </is>
      </c>
      <c r="D89" s="160" t="inlineStr">
        <is>
          <t>佐藤8</t>
        </is>
      </c>
      <c r="E89" s="1195" t="inlineStr">
        <is>
          <t>小野12</t>
        </is>
      </c>
      <c r="F89" s="1195" t="inlineStr">
        <is>
          <t>山内9</t>
        </is>
      </c>
      <c r="G89" s="1195" t="inlineStr">
        <is>
          <t>神田9</t>
        </is>
      </c>
      <c r="H89" s="1199" t="inlineStr">
        <is>
          <t>中村10</t>
        </is>
      </c>
      <c r="I89" s="658" t="n">
        <v>24</v>
      </c>
      <c r="J89" s="975" t="inlineStr">
        <is>
          <t>3A</t>
        </is>
      </c>
      <c r="K89" s="985" t="inlineStr">
        <is>
          <t>髙本</t>
        </is>
      </c>
      <c r="L89" s="160" t="inlineStr">
        <is>
          <t>馬渡8</t>
        </is>
      </c>
      <c r="M89" s="1195" t="inlineStr">
        <is>
          <t>髙本12</t>
        </is>
      </c>
      <c r="N89" s="1195" t="inlineStr">
        <is>
          <t>右田9</t>
        </is>
      </c>
      <c r="O89" s="1195" t="inlineStr">
        <is>
          <t>田代9</t>
        </is>
      </c>
      <c r="P89" s="1199" t="inlineStr">
        <is>
          <t>中嶋10</t>
        </is>
      </c>
      <c r="W89" s="1119" t="n"/>
    </row>
    <row r="90" ht="20.25" customHeight="1" s="1428" thickBot="1">
      <c r="A90" s="657" t="n">
        <v>25</v>
      </c>
      <c r="B90" s="977" t="inlineStr">
        <is>
          <t>3B</t>
        </is>
      </c>
      <c r="C90" s="978" t="inlineStr">
        <is>
          <t>中村</t>
        </is>
      </c>
      <c r="D90" s="100" t="inlineStr">
        <is>
          <t>佐藤8</t>
        </is>
      </c>
      <c r="E90" s="101" t="inlineStr">
        <is>
          <t>古賀12</t>
        </is>
      </c>
      <c r="F90" s="101" t="inlineStr">
        <is>
          <t>山内9</t>
        </is>
      </c>
      <c r="G90" s="101" t="inlineStr">
        <is>
          <t>神田9</t>
        </is>
      </c>
      <c r="H90" s="216" t="inlineStr">
        <is>
          <t>中村10</t>
        </is>
      </c>
      <c r="I90" s="658" t="n">
        <v>56</v>
      </c>
      <c r="J90" s="977" t="inlineStr">
        <is>
          <t>3B</t>
        </is>
      </c>
      <c r="K90" s="986" t="inlineStr">
        <is>
          <t>伊地知</t>
        </is>
      </c>
      <c r="L90" s="100" t="inlineStr">
        <is>
          <t>馬渡8</t>
        </is>
      </c>
      <c r="M90" s="101" t="inlineStr">
        <is>
          <t>伊地知12</t>
        </is>
      </c>
      <c r="N90" s="101" t="inlineStr">
        <is>
          <t>中嶋9</t>
        </is>
      </c>
      <c r="O90" s="101" t="inlineStr">
        <is>
          <t>●倉光9</t>
        </is>
      </c>
      <c r="P90" s="216" t="inlineStr">
        <is>
          <t>中嶋10</t>
        </is>
      </c>
      <c r="W90" s="1119" t="n"/>
    </row>
    <row r="91" ht="20.25" customHeight="1" s="1428">
      <c r="A91" s="657" t="n">
        <v>19</v>
      </c>
      <c r="B91" s="979" t="inlineStr">
        <is>
          <t>2Ａ</t>
        </is>
      </c>
      <c r="C91" s="980" t="inlineStr">
        <is>
          <t>中村</t>
        </is>
      </c>
      <c r="D91" s="217" t="inlineStr">
        <is>
          <t>副島5</t>
        </is>
      </c>
      <c r="E91" s="158" t="inlineStr">
        <is>
          <t>古賀7</t>
        </is>
      </c>
      <c r="F91" s="158" t="inlineStr">
        <is>
          <t>佐藤5</t>
        </is>
      </c>
      <c r="G91" s="158" t="inlineStr">
        <is>
          <t>★田代5</t>
        </is>
      </c>
      <c r="H91" s="166" t="inlineStr">
        <is>
          <t>中村7</t>
        </is>
      </c>
      <c r="I91" s="658" t="n">
        <v>22</v>
      </c>
      <c r="J91" s="979" t="inlineStr">
        <is>
          <t>2Ａ</t>
        </is>
      </c>
      <c r="K91" s="987" t="inlineStr">
        <is>
          <t>中嶋</t>
        </is>
      </c>
      <c r="L91" s="217" t="inlineStr">
        <is>
          <t>副島5</t>
        </is>
      </c>
      <c r="M91" s="158" t="inlineStr">
        <is>
          <t>髙本7</t>
        </is>
      </c>
      <c r="N91" s="158" t="inlineStr">
        <is>
          <t>右田5</t>
        </is>
      </c>
      <c r="O91" s="158" t="inlineStr">
        <is>
          <t>●倉光5</t>
        </is>
      </c>
      <c r="P91" s="166" t="inlineStr">
        <is>
          <t>中嶋7</t>
        </is>
      </c>
      <c r="W91" s="1119" t="n"/>
    </row>
    <row r="92" ht="20.25" customHeight="1" s="1428" thickBot="1">
      <c r="A92" s="657" t="n">
        <v>30</v>
      </c>
      <c r="B92" s="981" t="inlineStr">
        <is>
          <t>2B(S)</t>
        </is>
      </c>
      <c r="C92" s="978" t="inlineStr">
        <is>
          <t>古賀</t>
        </is>
      </c>
      <c r="D92" s="100" t="inlineStr">
        <is>
          <t>副島5</t>
        </is>
      </c>
      <c r="E92" s="101" t="inlineStr">
        <is>
          <t>古賀6</t>
        </is>
      </c>
      <c r="F92" s="101" t="inlineStr">
        <is>
          <t>佐藤5</t>
        </is>
      </c>
      <c r="G92" s="101" t="inlineStr">
        <is>
          <t>★田代5</t>
        </is>
      </c>
      <c r="H92" s="216" t="inlineStr">
        <is>
          <t>★大山6</t>
        </is>
      </c>
      <c r="I92" s="658" t="n">
        <v>24</v>
      </c>
      <c r="J92" s="981" t="inlineStr">
        <is>
          <t>2B(S)</t>
        </is>
      </c>
      <c r="K92" s="210" t="inlineStr">
        <is>
          <t>中嶋</t>
        </is>
      </c>
      <c r="L92" s="100" t="inlineStr">
        <is>
          <t>副島5</t>
        </is>
      </c>
      <c r="M92" s="101" t="inlineStr">
        <is>
          <t>伊地知6</t>
        </is>
      </c>
      <c r="N92" s="101" t="inlineStr">
        <is>
          <t>右田5</t>
        </is>
      </c>
      <c r="O92" s="101" t="inlineStr">
        <is>
          <t>●倉光5</t>
        </is>
      </c>
      <c r="P92" s="216" t="inlineStr">
        <is>
          <t>中嶋6</t>
        </is>
      </c>
      <c r="W92" s="1119" t="n"/>
    </row>
    <row r="93" ht="20.25" customHeight="1" s="1428">
      <c r="A93" s="657" t="n">
        <v>17</v>
      </c>
      <c r="B93" s="982" t="inlineStr">
        <is>
          <t>1A</t>
        </is>
      </c>
      <c r="C93" s="980" t="inlineStr">
        <is>
          <t>佐藤</t>
        </is>
      </c>
      <c r="D93" s="161" t="inlineStr">
        <is>
          <t>佐藤4</t>
        </is>
      </c>
      <c r="E93" s="158" t="inlineStr">
        <is>
          <t>古賀6</t>
        </is>
      </c>
      <c r="F93" s="158" t="inlineStr">
        <is>
          <t>山内4</t>
        </is>
      </c>
      <c r="G93" s="158" t="inlineStr">
        <is>
          <t>神田4</t>
        </is>
      </c>
      <c r="H93" s="166" t="inlineStr">
        <is>
          <t>中村8</t>
        </is>
      </c>
      <c r="I93" s="658" t="n">
        <v>18</v>
      </c>
      <c r="J93" s="982" t="inlineStr">
        <is>
          <t>1A</t>
        </is>
      </c>
      <c r="K93" s="987" t="inlineStr">
        <is>
          <t>副島</t>
        </is>
      </c>
      <c r="L93" s="161" t="inlineStr">
        <is>
          <t>馬渡4</t>
        </is>
      </c>
      <c r="M93" s="925" t="inlineStr">
        <is>
          <t>高本6</t>
        </is>
      </c>
      <c r="N93" s="158" t="inlineStr">
        <is>
          <t>副島4</t>
        </is>
      </c>
      <c r="O93" s="158" t="inlineStr">
        <is>
          <t>●倉光4</t>
        </is>
      </c>
      <c r="P93" s="1061" t="inlineStr">
        <is>
          <t>★大山8</t>
        </is>
      </c>
      <c r="W93" s="1119" t="n"/>
    </row>
    <row r="94" ht="20.25" customHeight="1" s="1428" thickBot="1">
      <c r="A94" s="657" t="n">
        <v>16</v>
      </c>
      <c r="B94" s="983" t="inlineStr">
        <is>
          <t>1B(S)</t>
        </is>
      </c>
      <c r="C94" s="984" t="inlineStr">
        <is>
          <t>佐藤</t>
        </is>
      </c>
      <c r="D94" s="84" t="inlineStr">
        <is>
          <t>佐藤4</t>
        </is>
      </c>
      <c r="E94" s="140" t="inlineStr">
        <is>
          <t>古賀5</t>
        </is>
      </c>
      <c r="F94" s="140" t="inlineStr">
        <is>
          <t>山内4</t>
        </is>
      </c>
      <c r="G94" s="140" t="inlineStr">
        <is>
          <t>神田4</t>
        </is>
      </c>
      <c r="H94" s="162" t="inlineStr">
        <is>
          <t>中村5</t>
        </is>
      </c>
      <c r="I94" s="658" t="n">
        <v>24</v>
      </c>
      <c r="J94" s="983" t="inlineStr">
        <is>
          <t>1B(S)</t>
        </is>
      </c>
      <c r="K94" s="988" t="inlineStr">
        <is>
          <t>副島</t>
        </is>
      </c>
      <c r="L94" s="84" t="inlineStr">
        <is>
          <t>馬渡4</t>
        </is>
      </c>
      <c r="M94" s="140" t="inlineStr">
        <is>
          <t>伊地知5</t>
        </is>
      </c>
      <c r="N94" s="140" t="inlineStr">
        <is>
          <t>副島4</t>
        </is>
      </c>
      <c r="O94" s="140" t="inlineStr">
        <is>
          <t>●倉光4</t>
        </is>
      </c>
      <c r="P94" s="162" t="inlineStr">
        <is>
          <t>中嶋5</t>
        </is>
      </c>
      <c r="W94" s="1119" t="n"/>
    </row>
    <row r="95" ht="20.25" customHeight="1" s="1428" thickTop="1">
      <c r="A95" s="657" t="n"/>
      <c r="B95" s="961" t="inlineStr">
        <is>
          <t>クラス</t>
        </is>
      </c>
      <c r="C95" s="962" t="inlineStr">
        <is>
          <t>担任</t>
        </is>
      </c>
      <c r="D95" s="963" t="inlineStr">
        <is>
          <t>国語</t>
        </is>
      </c>
      <c r="E95" s="964" t="inlineStr">
        <is>
          <t>算数</t>
        </is>
      </c>
      <c r="F95" s="964" t="inlineStr">
        <is>
          <t>社会</t>
        </is>
      </c>
      <c r="G95" s="965" t="inlineStr">
        <is>
          <t>理科</t>
        </is>
      </c>
      <c r="H95" s="966" t="inlineStr">
        <is>
          <t>算数講座</t>
        </is>
      </c>
      <c r="I95" s="658" t="n"/>
      <c r="J95" s="967" t="inlineStr">
        <is>
          <t>クラス</t>
        </is>
      </c>
      <c r="K95" s="968" t="inlineStr">
        <is>
          <t>担任</t>
        </is>
      </c>
      <c r="L95" s="969" t="inlineStr">
        <is>
          <t>国語</t>
        </is>
      </c>
      <c r="M95" s="970" t="inlineStr">
        <is>
          <t>算数</t>
        </is>
      </c>
      <c r="N95" s="970" t="inlineStr">
        <is>
          <t>社会</t>
        </is>
      </c>
      <c r="O95" s="970" t="inlineStr">
        <is>
          <t>理科</t>
        </is>
      </c>
      <c r="P95" s="971" t="inlineStr">
        <is>
          <t>算数講座</t>
        </is>
      </c>
    </row>
    <row r="96" ht="20.25" customHeight="1" s="1428">
      <c r="A96" s="657" t="n">
        <v>16</v>
      </c>
      <c r="B96" s="989" t="inlineStr">
        <is>
          <t>6受</t>
        </is>
      </c>
      <c r="C96" s="990" t="inlineStr">
        <is>
          <t>佐藤</t>
        </is>
      </c>
      <c r="D96" s="115" t="inlineStr">
        <is>
          <t>佐藤9</t>
        </is>
      </c>
      <c r="E96" s="45" t="inlineStr">
        <is>
          <t>小野13</t>
        </is>
      </c>
      <c r="F96" s="45" t="inlineStr">
        <is>
          <t>山内10</t>
        </is>
      </c>
      <c r="G96" s="45" t="inlineStr">
        <is>
          <t>神田10</t>
        </is>
      </c>
      <c r="H96" s="92" t="n"/>
      <c r="I96" s="658" t="n">
        <v>18</v>
      </c>
      <c r="J96" s="989" t="inlineStr">
        <is>
          <t>6受</t>
        </is>
      </c>
      <c r="K96" s="995" t="inlineStr">
        <is>
          <t>馬渡</t>
        </is>
      </c>
      <c r="L96" s="115" t="inlineStr">
        <is>
          <t>馬渡9</t>
        </is>
      </c>
      <c r="M96" s="45" t="inlineStr">
        <is>
          <t>髙本13</t>
        </is>
      </c>
      <c r="N96" s="45" t="inlineStr">
        <is>
          <t>中嶋10</t>
        </is>
      </c>
      <c r="O96" s="114" t="inlineStr">
        <is>
          <t>田代10</t>
        </is>
      </c>
      <c r="P96" s="213" t="n"/>
    </row>
    <row r="97" ht="20.25" customHeight="1" s="1428" thickBot="1">
      <c r="A97" s="657" t="n">
        <v>11</v>
      </c>
      <c r="B97" s="991" t="inlineStr">
        <is>
          <t>6通</t>
        </is>
      </c>
      <c r="C97" s="992" t="inlineStr">
        <is>
          <t>神田</t>
        </is>
      </c>
      <c r="D97" s="164" t="inlineStr">
        <is>
          <t>右田4</t>
        </is>
      </c>
      <c r="E97" s="105" t="inlineStr">
        <is>
          <t>小野5</t>
        </is>
      </c>
      <c r="F97" s="105" t="inlineStr">
        <is>
          <t>山内3</t>
        </is>
      </c>
      <c r="G97" s="105" t="inlineStr">
        <is>
          <t>★田代3</t>
        </is>
      </c>
      <c r="H97" s="86" t="n"/>
      <c r="I97" s="658" t="n">
        <v>22</v>
      </c>
      <c r="J97" s="991" t="inlineStr">
        <is>
          <t>6通</t>
        </is>
      </c>
      <c r="K97" s="204" t="inlineStr">
        <is>
          <t>髙本</t>
        </is>
      </c>
      <c r="L97" s="164" t="inlineStr">
        <is>
          <t>副島4</t>
        </is>
      </c>
      <c r="M97" s="105" t="inlineStr">
        <is>
          <t>伊地知5</t>
        </is>
      </c>
      <c r="N97" s="105" t="inlineStr">
        <is>
          <t>中嶋3</t>
        </is>
      </c>
      <c r="O97" s="105" t="inlineStr">
        <is>
          <t>●神田3</t>
        </is>
      </c>
      <c r="P97" s="237" t="n"/>
    </row>
    <row r="98" ht="20.25" customHeight="1" s="1428" thickBot="1">
      <c r="A98" s="657" t="n">
        <v>28</v>
      </c>
      <c r="B98" s="991" t="inlineStr">
        <is>
          <t>5H</t>
        </is>
      </c>
      <c r="C98" s="992" t="inlineStr">
        <is>
          <t>佐藤</t>
        </is>
      </c>
      <c r="D98" s="164" t="inlineStr">
        <is>
          <t>右田3</t>
        </is>
      </c>
      <c r="E98" s="105" t="inlineStr">
        <is>
          <t>小野4</t>
        </is>
      </c>
      <c r="F98" s="105" t="inlineStr">
        <is>
          <t>山内3</t>
        </is>
      </c>
      <c r="G98" s="105" t="inlineStr">
        <is>
          <t>★田代3</t>
        </is>
      </c>
      <c r="H98" s="157" t="inlineStr">
        <is>
          <t>古賀5</t>
        </is>
      </c>
      <c r="I98" s="658" t="n">
        <v>41</v>
      </c>
      <c r="J98" s="991" t="inlineStr">
        <is>
          <t>5H</t>
        </is>
      </c>
      <c r="K98" s="996" t="inlineStr">
        <is>
          <t>伊地知</t>
        </is>
      </c>
      <c r="L98" s="143" t="inlineStr">
        <is>
          <t>馬渡3</t>
        </is>
      </c>
      <c r="M98" s="105" t="inlineStr">
        <is>
          <t>伊地知4</t>
        </is>
      </c>
      <c r="N98" s="105" t="inlineStr">
        <is>
          <t>副島3</t>
        </is>
      </c>
      <c r="O98" s="105" t="inlineStr">
        <is>
          <t>●神田3</t>
        </is>
      </c>
      <c r="P98" s="1051" t="inlineStr">
        <is>
          <t>●伊地知5</t>
        </is>
      </c>
    </row>
    <row r="99" ht="20.25" customHeight="1" s="1428" thickBot="1">
      <c r="A99" s="657" t="n">
        <v>12</v>
      </c>
      <c r="B99" s="993" t="inlineStr">
        <is>
          <t>4年</t>
        </is>
      </c>
      <c r="C99" s="994" t="inlineStr">
        <is>
          <t>平井</t>
        </is>
      </c>
      <c r="D99" s="142" t="inlineStr">
        <is>
          <t>佐藤3</t>
        </is>
      </c>
      <c r="E99" s="108" t="inlineStr">
        <is>
          <t>小野3</t>
        </is>
      </c>
      <c r="F99" s="1021" t="n"/>
      <c r="G99" s="1021" t="n"/>
      <c r="H99" s="215" t="inlineStr">
        <is>
          <t>古賀3</t>
        </is>
      </c>
      <c r="I99" s="658" t="n">
        <v>21</v>
      </c>
      <c r="J99" s="993" t="inlineStr">
        <is>
          <t>4年</t>
        </is>
      </c>
      <c r="K99" s="997" t="inlineStr">
        <is>
          <t>副島</t>
        </is>
      </c>
      <c r="L99" s="142" t="inlineStr">
        <is>
          <t>副島3</t>
        </is>
      </c>
      <c r="M99" s="108" t="inlineStr">
        <is>
          <t>伊地知3</t>
        </is>
      </c>
      <c r="N99" s="1021" t="n"/>
      <c r="O99" s="1021" t="n"/>
      <c r="P99" s="215" t="inlineStr">
        <is>
          <t>伊地知3</t>
        </is>
      </c>
    </row>
    <row r="100" ht="20.25" customHeight="1" s="1428" thickBot="1" thickTop="1">
      <c r="A100" s="657" t="n"/>
      <c r="B100" s="1092" t="inlineStr">
        <is>
          <t>5年特別講座</t>
        </is>
      </c>
      <c r="C100" s="1474" t="n"/>
      <c r="D100" s="972" t="inlineStr">
        <is>
          <t>社会</t>
        </is>
      </c>
      <c r="E100" s="262" t="inlineStr">
        <is>
          <t>●山内5</t>
        </is>
      </c>
      <c r="F100" s="960" t="inlineStr">
        <is>
          <t>理科</t>
        </is>
      </c>
      <c r="G100" s="263" t="inlineStr">
        <is>
          <t>●神田4</t>
        </is>
      </c>
      <c r="H100" s="86" t="n"/>
      <c r="I100" s="658" t="n"/>
      <c r="J100" s="1092" t="inlineStr">
        <is>
          <t>5年特別講座</t>
        </is>
      </c>
      <c r="K100" s="1474" t="n"/>
      <c r="L100" s="973" t="inlineStr">
        <is>
          <t>社会</t>
        </is>
      </c>
      <c r="M100" s="165" t="inlineStr">
        <is>
          <t>●中嶋5</t>
        </is>
      </c>
      <c r="N100" s="974" t="inlineStr">
        <is>
          <t>理科</t>
        </is>
      </c>
      <c r="O100" s="165" t="inlineStr">
        <is>
          <t>●田代4</t>
        </is>
      </c>
      <c r="P100" s="237" t="n"/>
    </row>
    <row r="101" ht="20.25" customHeight="1" s="1428">
      <c r="A101" s="233" t="n"/>
      <c r="B101" s="1084" t="inlineStr">
        <is>
          <t>高校：</t>
        </is>
      </c>
      <c r="C101" s="1471" t="n"/>
      <c r="D101" s="1062" t="inlineStr">
        <is>
          <t>古賀5?</t>
        </is>
      </c>
      <c r="F101" s="1084" t="inlineStr">
        <is>
          <t>まなブリッジ：</t>
        </is>
      </c>
      <c r="G101" s="1471" t="n"/>
      <c r="H101" s="1062" t="inlineStr">
        <is>
          <t>担当者?</t>
        </is>
      </c>
      <c r="I101" s="155" t="n"/>
      <c r="J101" s="1084" t="inlineStr">
        <is>
          <t>高校：</t>
        </is>
      </c>
      <c r="K101" s="1471" t="n"/>
      <c r="L101" s="1096" t="inlineStr">
        <is>
          <t>髙本・北原5?</t>
        </is>
      </c>
      <c r="M101" s="1471" t="n"/>
      <c r="N101" s="1084" t="inlineStr">
        <is>
          <t>まなブリッジ：</t>
        </is>
      </c>
      <c r="O101" s="1471" t="n"/>
      <c r="P101" s="1062" t="inlineStr">
        <is>
          <t>担当者?</t>
        </is>
      </c>
    </row>
    <row r="102" ht="20.25" customHeight="1" s="1428">
      <c r="I102" s="155" t="n"/>
      <c r="J102" s="156" t="n"/>
    </row>
    <row r="103" ht="20.25" customHeight="1" s="1428">
      <c r="B103" s="1094" t="inlineStr">
        <is>
          <t>４．各教科担当者の授業回数　（50コマの場合…1日平均3.6コマ)</t>
        </is>
      </c>
    </row>
    <row r="104" ht="20.25" customFormat="1" customHeight="1" s="1080">
      <c r="B104" s="150" t="n"/>
    </row>
    <row r="105" ht="20.25" customHeight="1" s="1428">
      <c r="B105" s="1076" t="inlineStr">
        <is>
          <t>国語</t>
        </is>
      </c>
      <c r="C105" s="1475" t="n"/>
      <c r="D105" s="1465" t="n"/>
      <c r="E105" s="1089" t="inlineStr">
        <is>
          <t>算数・数学</t>
        </is>
      </c>
      <c r="F105" s="1475" t="n"/>
      <c r="G105" s="1465" t="n"/>
      <c r="H105" s="1091" t="inlineStr">
        <is>
          <t>社会</t>
        </is>
      </c>
      <c r="I105" s="1475" t="n"/>
      <c r="J105" s="1465" t="n"/>
      <c r="K105" s="1089" t="inlineStr">
        <is>
          <t>理科</t>
        </is>
      </c>
      <c r="L105" s="1475" t="n"/>
      <c r="M105" s="1465" t="n"/>
      <c r="N105" s="1091" t="inlineStr">
        <is>
          <t>英語</t>
        </is>
      </c>
      <c r="O105" s="1475" t="n"/>
      <c r="P105" s="1465" t="n"/>
    </row>
    <row r="106" ht="20.25" customHeight="1" s="1428" thickBot="1">
      <c r="B106" s="349" t="inlineStr">
        <is>
          <t>教員名</t>
        </is>
      </c>
      <c r="C106" s="349" t="inlineStr">
        <is>
          <t>計</t>
        </is>
      </c>
      <c r="D106" s="350" t="inlineStr">
        <is>
          <t>他教科</t>
        </is>
      </c>
      <c r="E106" s="351" t="inlineStr">
        <is>
          <t>教員名</t>
        </is>
      </c>
      <c r="F106" s="349" t="inlineStr">
        <is>
          <t>計</t>
        </is>
      </c>
      <c r="G106" s="352" t="inlineStr">
        <is>
          <t>他教科</t>
        </is>
      </c>
      <c r="H106" s="353" t="inlineStr">
        <is>
          <t>教員名</t>
        </is>
      </c>
      <c r="I106" s="349" t="inlineStr">
        <is>
          <t>計</t>
        </is>
      </c>
      <c r="J106" s="350" t="inlineStr">
        <is>
          <t>他教科</t>
        </is>
      </c>
      <c r="K106" s="351" t="inlineStr">
        <is>
          <t>教員名</t>
        </is>
      </c>
      <c r="L106" s="349" t="inlineStr">
        <is>
          <t>計</t>
        </is>
      </c>
      <c r="M106" s="352" t="inlineStr">
        <is>
          <t>他教科</t>
        </is>
      </c>
      <c r="N106" s="353" t="inlineStr">
        <is>
          <t>教員名</t>
        </is>
      </c>
      <c r="O106" s="349" t="inlineStr">
        <is>
          <t>計</t>
        </is>
      </c>
      <c r="P106" s="349" t="inlineStr">
        <is>
          <t>他教科</t>
        </is>
      </c>
    </row>
    <row r="107" ht="20.25" customFormat="1" customHeight="1" s="124" thickTop="1">
      <c r="B107" s="1195" t="inlineStr">
        <is>
          <t>馬渡</t>
        </is>
      </c>
      <c r="C107" s="1195" t="n">
        <v>36</v>
      </c>
      <c r="D107" s="163" t="n"/>
      <c r="E107" s="160" t="inlineStr">
        <is>
          <t>髙本</t>
        </is>
      </c>
      <c r="F107" s="1195" t="n">
        <v>38</v>
      </c>
      <c r="G107" s="163" t="inlineStr">
        <is>
          <t>高5?</t>
        </is>
      </c>
      <c r="H107" s="160" t="inlineStr">
        <is>
          <t>藤田</t>
        </is>
      </c>
      <c r="I107" s="1195" t="n">
        <v>21</v>
      </c>
      <c r="J107" s="275" t="n"/>
      <c r="K107" s="208" t="inlineStr">
        <is>
          <t>神田</t>
        </is>
      </c>
      <c r="L107" s="1195" t="n">
        <v>46</v>
      </c>
      <c r="M107" s="163" t="n"/>
      <c r="N107" s="160" t="inlineStr">
        <is>
          <t>中村</t>
        </is>
      </c>
      <c r="O107" s="1195" t="n">
        <v>40</v>
      </c>
      <c r="P107" s="1195" t="n"/>
      <c r="Q107" s="927" t="n"/>
    </row>
    <row r="108" ht="20.25" customFormat="1" customHeight="1" s="124">
      <c r="B108" s="45" t="inlineStr">
        <is>
          <t>日高</t>
        </is>
      </c>
      <c r="C108" s="45" t="n">
        <v>47</v>
      </c>
      <c r="D108" s="112" t="n"/>
      <c r="E108" s="113" t="inlineStr">
        <is>
          <t>小野</t>
        </is>
      </c>
      <c r="F108" s="45" t="n">
        <v>37</v>
      </c>
      <c r="G108" s="112" t="n"/>
      <c r="H108" s="113" t="inlineStr">
        <is>
          <t>岡野</t>
        </is>
      </c>
      <c r="I108" s="1538" t="n">
        <v>51</v>
      </c>
      <c r="J108" s="114" t="n"/>
      <c r="K108" s="115" t="inlineStr">
        <is>
          <t>田代</t>
        </is>
      </c>
      <c r="L108" s="45" t="n">
        <v>39</v>
      </c>
      <c r="M108" s="928" t="n"/>
      <c r="N108" s="113" t="inlineStr">
        <is>
          <t>中嶋</t>
        </is>
      </c>
      <c r="O108" s="1538" t="n">
        <v>38</v>
      </c>
      <c r="P108" s="1538" t="inlineStr">
        <is>
          <t>社27</t>
        </is>
      </c>
      <c r="Q108" s="927" t="n"/>
    </row>
    <row r="109" ht="20.25" customFormat="1" customHeight="1" s="124">
      <c r="B109" s="45" t="inlineStr">
        <is>
          <t>副島</t>
        </is>
      </c>
      <c r="C109" s="45" t="n">
        <v>27</v>
      </c>
      <c r="D109" s="112" t="inlineStr">
        <is>
          <t>社11</t>
        </is>
      </c>
      <c r="E109" s="113" t="inlineStr">
        <is>
          <t>黒岩</t>
        </is>
      </c>
      <c r="F109" s="1538" t="n">
        <v>50</v>
      </c>
      <c r="G109" s="112" t="n"/>
      <c r="H109" s="113" t="inlineStr">
        <is>
          <t>右田</t>
        </is>
      </c>
      <c r="I109" s="45" t="n">
        <v>27</v>
      </c>
      <c r="J109" s="112" t="inlineStr">
        <is>
          <t>国7</t>
        </is>
      </c>
      <c r="K109" s="115" t="inlineStr">
        <is>
          <t>和久</t>
        </is>
      </c>
      <c r="L109" s="45" t="n">
        <v>26</v>
      </c>
      <c r="M109" s="928" t="n"/>
      <c r="N109" s="113" t="inlineStr">
        <is>
          <t>土井下</t>
        </is>
      </c>
      <c r="O109" s="45" t="n">
        <v>38</v>
      </c>
      <c r="P109" s="45" t="n"/>
      <c r="Q109" s="927" t="n"/>
    </row>
    <row r="110" ht="20.25" customFormat="1" customHeight="1" s="124">
      <c r="B110" s="45" t="inlineStr">
        <is>
          <t>佐藤</t>
        </is>
      </c>
      <c r="C110" s="45" t="n">
        <v>36</v>
      </c>
      <c r="D110" s="112" t="inlineStr">
        <is>
          <t>社10</t>
        </is>
      </c>
      <c r="E110" s="113" t="inlineStr">
        <is>
          <t>伊地知</t>
        </is>
      </c>
      <c r="F110" s="45" t="n">
        <v>43</v>
      </c>
      <c r="G110" s="112" t="n"/>
      <c r="H110" s="113" t="inlineStr">
        <is>
          <t>長本</t>
        </is>
      </c>
      <c r="I110" s="45" t="n">
        <v>6</v>
      </c>
      <c r="J110" s="112" t="inlineStr">
        <is>
          <t>国34</t>
        </is>
      </c>
      <c r="K110" s="115" t="inlineStr">
        <is>
          <t>大山</t>
        </is>
      </c>
      <c r="L110" s="45" t="n">
        <v>30</v>
      </c>
      <c r="M110" s="112" t="inlineStr">
        <is>
          <t>英14</t>
        </is>
      </c>
      <c r="N110" s="115" t="inlineStr">
        <is>
          <t>原</t>
        </is>
      </c>
      <c r="O110" s="45" t="n">
        <v>27</v>
      </c>
      <c r="P110" s="45" t="inlineStr">
        <is>
          <t>高5?</t>
        </is>
      </c>
      <c r="Q110" s="927" t="n"/>
    </row>
    <row r="111" ht="20.25" customFormat="1" customHeight="1" s="124">
      <c r="B111" s="45" t="inlineStr">
        <is>
          <t>長本</t>
        </is>
      </c>
      <c r="C111" s="45" t="n">
        <v>34</v>
      </c>
      <c r="D111" s="112" t="inlineStr">
        <is>
          <t>社6</t>
        </is>
      </c>
      <c r="E111" s="113" t="inlineStr">
        <is>
          <t>平井</t>
        </is>
      </c>
      <c r="F111" s="1538" t="n">
        <v>51</v>
      </c>
      <c r="G111" s="112" t="n"/>
      <c r="H111" s="935" t="inlineStr">
        <is>
          <t>山内</t>
        </is>
      </c>
      <c r="I111" s="933" t="n">
        <v>47</v>
      </c>
      <c r="J111" s="934" t="n"/>
      <c r="K111" s="115" t="inlineStr">
        <is>
          <t>平野</t>
        </is>
      </c>
      <c r="L111" s="45" t="n">
        <v>29</v>
      </c>
      <c r="M111" s="112" t="inlineStr">
        <is>
          <t>数17</t>
        </is>
      </c>
      <c r="N111" s="935" t="inlineStr">
        <is>
          <t>大山</t>
        </is>
      </c>
      <c r="O111" s="933" t="n">
        <v>14</v>
      </c>
      <c r="P111" s="933" t="inlineStr">
        <is>
          <t>理30</t>
        </is>
      </c>
      <c r="Q111" s="927" t="n"/>
    </row>
    <row r="112" ht="20.25" customFormat="1" customHeight="1" s="124">
      <c r="B112" s="933" t="inlineStr">
        <is>
          <t>右田</t>
        </is>
      </c>
      <c r="C112" s="933" t="n">
        <v>7</v>
      </c>
      <c r="D112" s="934" t="inlineStr">
        <is>
          <t>社27</t>
        </is>
      </c>
      <c r="E112" s="113" t="inlineStr">
        <is>
          <t>古賀</t>
        </is>
      </c>
      <c r="F112" s="1538" t="n">
        <v>48</v>
      </c>
      <c r="G112" s="1539" t="inlineStr">
        <is>
          <t>高5?</t>
        </is>
      </c>
      <c r="H112" s="936" t="inlineStr">
        <is>
          <t>副島</t>
        </is>
      </c>
      <c r="I112" s="933" t="n">
        <v>11</v>
      </c>
      <c r="J112" s="934" t="inlineStr">
        <is>
          <t>国27</t>
        </is>
      </c>
      <c r="K112" s="115" t="inlineStr">
        <is>
          <t>倉光</t>
        </is>
      </c>
      <c r="L112" s="45" t="n">
        <v>27</v>
      </c>
      <c r="M112" s="112" t="n"/>
      <c r="N112" s="113" t="n"/>
      <c r="O112" s="45" t="n"/>
      <c r="P112" s="45" t="n"/>
      <c r="Q112" s="927" t="n"/>
    </row>
    <row r="113" ht="20.25" customFormat="1" customHeight="1" s="124">
      <c r="B113" s="1540" t="n"/>
      <c r="C113" s="45" t="n"/>
      <c r="D113" s="112" t="n"/>
      <c r="E113" s="935" t="inlineStr">
        <is>
          <t>平野</t>
        </is>
      </c>
      <c r="F113" s="933" t="n">
        <v>17</v>
      </c>
      <c r="G113" s="934" t="inlineStr">
        <is>
          <t>理29</t>
        </is>
      </c>
      <c r="H113" s="933" t="inlineStr">
        <is>
          <t>佐藤</t>
        </is>
      </c>
      <c r="I113" s="1541" t="n">
        <v>10</v>
      </c>
      <c r="J113" s="1542" t="inlineStr">
        <is>
          <t>国36</t>
        </is>
      </c>
      <c r="K113" s="115" t="n"/>
      <c r="L113" s="45" t="n"/>
      <c r="M113" s="112" t="n"/>
      <c r="N113" s="113" t="n"/>
      <c r="O113" s="45" t="n"/>
      <c r="P113" s="45" t="n"/>
      <c r="Q113" s="927" t="n"/>
    </row>
    <row r="114" ht="20.25" customFormat="1" customHeight="1" s="124">
      <c r="B114" s="45" t="n"/>
      <c r="C114" s="45" t="n"/>
      <c r="D114" s="112" t="n"/>
      <c r="E114" s="113" t="n"/>
      <c r="F114" s="45" t="n"/>
      <c r="G114" s="112" t="n"/>
      <c r="H114" s="933" t="inlineStr">
        <is>
          <t>中嶋</t>
        </is>
      </c>
      <c r="I114" s="1541" t="n">
        <v>27</v>
      </c>
      <c r="J114" s="1072" t="inlineStr">
        <is>
          <t>英38</t>
        </is>
      </c>
      <c r="K114" s="115" t="n"/>
      <c r="L114" s="45" t="n"/>
      <c r="M114" s="112" t="n"/>
      <c r="N114" s="113" t="n"/>
      <c r="O114" s="45" t="n"/>
      <c r="P114" s="45" t="n"/>
      <c r="Q114" s="927" t="n"/>
    </row>
    <row r="115" ht="20.25" customFormat="1" customHeight="1" s="124">
      <c r="B115" s="45" t="n"/>
      <c r="C115" s="45" t="n"/>
      <c r="D115" s="112" t="n"/>
      <c r="E115" s="113" t="n"/>
      <c r="F115" s="45" t="n"/>
      <c r="G115" s="112" t="n"/>
      <c r="H115" s="113" t="n"/>
      <c r="I115" s="45" t="n"/>
      <c r="J115" s="112" t="n"/>
      <c r="K115" s="115" t="n"/>
      <c r="L115" s="45" t="n"/>
      <c r="M115" s="112" t="n"/>
      <c r="N115" s="113" t="n"/>
      <c r="O115" s="45" t="n"/>
      <c r="P115" s="45" t="n"/>
      <c r="Q115" s="927" t="n"/>
    </row>
    <row r="116" ht="20.25" customFormat="1" customHeight="1" s="124" thickBot="1">
      <c r="B116" s="140" t="n"/>
      <c r="C116" s="140" t="n"/>
      <c r="D116" s="206" t="n"/>
      <c r="E116" s="84" t="n"/>
      <c r="F116" s="140" t="n"/>
      <c r="G116" s="206" t="n"/>
      <c r="H116" s="84" t="n"/>
      <c r="I116" s="140" t="n"/>
      <c r="J116" s="206" t="n"/>
      <c r="K116" s="929" t="n"/>
      <c r="L116" s="140" t="n"/>
      <c r="M116" s="206" t="n"/>
      <c r="N116" s="84" t="n"/>
      <c r="O116" s="140" t="n"/>
      <c r="P116" s="140" t="n"/>
      <c r="Q116" s="927" t="n"/>
    </row>
    <row r="117" ht="20.25" customFormat="1" customHeight="1" s="124" thickTop="1">
      <c r="B117" s="1195" t="n"/>
      <c r="C117" s="1195" t="n"/>
      <c r="D117" s="930" t="n"/>
      <c r="E117" s="160" t="n"/>
      <c r="F117" s="1195" t="n"/>
      <c r="G117" s="163" t="n"/>
      <c r="H117" s="1195" t="n"/>
      <c r="I117" s="1195" t="n"/>
      <c r="J117" s="275" t="n"/>
      <c r="K117" s="208" t="n"/>
      <c r="L117" s="1195" t="n"/>
      <c r="M117" s="163" t="n"/>
      <c r="N117" s="160" t="n"/>
      <c r="O117" s="1195" t="n"/>
      <c r="P117" s="931" t="n"/>
      <c r="Q117" s="927" t="n"/>
    </row>
  </sheetData>
  <mergeCells count="96">
    <mergeCell ref="N101:O101"/>
    <mergeCell ref="E39:E40"/>
    <mergeCell ref="B100:C100"/>
    <mergeCell ref="P34:P35"/>
    <mergeCell ref="D36:D37"/>
    <mergeCell ref="H39:H40"/>
    <mergeCell ref="B41:H41"/>
    <mergeCell ref="Q38:Q39"/>
    <mergeCell ref="B43:B50"/>
    <mergeCell ref="C47:P47"/>
    <mergeCell ref="H36:H37"/>
    <mergeCell ref="B101:C101"/>
    <mergeCell ref="J36:J37"/>
    <mergeCell ref="J5:J7"/>
    <mergeCell ref="H5:H11"/>
    <mergeCell ref="R5:R11"/>
    <mergeCell ref="L38:L39"/>
    <mergeCell ref="N38:N39"/>
    <mergeCell ref="K5:K7"/>
    <mergeCell ref="I52:J52"/>
    <mergeCell ref="B105:D105"/>
    <mergeCell ref="J15:J21"/>
    <mergeCell ref="G36:G37"/>
    <mergeCell ref="M34:M35"/>
    <mergeCell ref="I5:I9"/>
    <mergeCell ref="J75:P75"/>
    <mergeCell ref="F36:F37"/>
    <mergeCell ref="O36:O37"/>
    <mergeCell ref="G39:G40"/>
    <mergeCell ref="N13:Q21"/>
    <mergeCell ref="F85:G85"/>
    <mergeCell ref="P36:P37"/>
    <mergeCell ref="K40:K41"/>
    <mergeCell ref="J83:K83"/>
    <mergeCell ref="R36:R37"/>
    <mergeCell ref="J101:K101"/>
    <mergeCell ref="I15:I21"/>
    <mergeCell ref="J87:P87"/>
    <mergeCell ref="J100:K100"/>
    <mergeCell ref="L34:L35"/>
    <mergeCell ref="C46:P46"/>
    <mergeCell ref="C15:C21"/>
    <mergeCell ref="K34:K35"/>
    <mergeCell ref="N84:O84"/>
    <mergeCell ref="D39:D40"/>
    <mergeCell ref="C48:P48"/>
    <mergeCell ref="O34:O35"/>
    <mergeCell ref="R15:R21"/>
    <mergeCell ref="J39:J40"/>
    <mergeCell ref="P38:P39"/>
    <mergeCell ref="R38:R39"/>
    <mergeCell ref="I36:I37"/>
    <mergeCell ref="P1:Q1"/>
    <mergeCell ref="R34:R35"/>
    <mergeCell ref="B30:Q30"/>
    <mergeCell ref="B103:P103"/>
    <mergeCell ref="B75:H75"/>
    <mergeCell ref="H105:J105"/>
    <mergeCell ref="H15:H21"/>
    <mergeCell ref="F101:G101"/>
    <mergeCell ref="C36:C37"/>
    <mergeCell ref="I39:I40"/>
    <mergeCell ref="B36:B37"/>
    <mergeCell ref="F39:F40"/>
    <mergeCell ref="C39:C40"/>
    <mergeCell ref="L52:M52"/>
    <mergeCell ref="M38:M39"/>
    <mergeCell ref="O38:O39"/>
    <mergeCell ref="B85:C85"/>
    <mergeCell ref="L36:L37"/>
    <mergeCell ref="C45:Q45"/>
    <mergeCell ref="B87:H87"/>
    <mergeCell ref="N36:N37"/>
    <mergeCell ref="K36:K37"/>
    <mergeCell ref="L101:M101"/>
    <mergeCell ref="B74:Q74"/>
    <mergeCell ref="K105:M105"/>
    <mergeCell ref="B1:M1"/>
    <mergeCell ref="E105:G105"/>
    <mergeCell ref="J84:K84"/>
    <mergeCell ref="B39:B40"/>
    <mergeCell ref="D5:D11"/>
    <mergeCell ref="K85:L85"/>
    <mergeCell ref="N1:O1"/>
    <mergeCell ref="M36:M37"/>
    <mergeCell ref="Q34:Q35"/>
    <mergeCell ref="E36:E37"/>
    <mergeCell ref="N34:N35"/>
    <mergeCell ref="K38:K39"/>
    <mergeCell ref="D17:D19"/>
    <mergeCell ref="C52:D52"/>
    <mergeCell ref="Q36:Q37"/>
    <mergeCell ref="F52:G52"/>
    <mergeCell ref="C5:C11"/>
    <mergeCell ref="E5:E11"/>
    <mergeCell ref="N105:P105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3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style="1428" min="1" max="1"/>
    <col width="6" customWidth="1" style="1428" min="2" max="2"/>
    <col width="6" customWidth="1" style="1428" min="3" max="3"/>
    <col width="120" customWidth="1" style="1428" min="4" max="4"/>
  </cols>
  <sheetData>
    <row r="1">
      <c r="A1" s="0" t="inlineStr">
        <is>
          <t>教員</t>
        </is>
      </c>
      <c r="B1" s="0" t="inlineStr">
        <is>
          <t>教科</t>
        </is>
      </c>
      <c r="C1" s="0" t="inlineStr">
        <is>
          <t>計</t>
        </is>
      </c>
      <c r="D1" s="0" t="inlineStr">
        <is>
          <t>内訳（セル：コマ数）</t>
        </is>
      </c>
    </row>
    <row r="2">
      <c r="A2" s="0" t="inlineStr">
        <is>
          <t>馬渡</t>
        </is>
      </c>
      <c r="B2" s="0" t="inlineStr">
        <is>
          <t>国</t>
        </is>
      </c>
      <c r="C2" s="0" t="n">
        <v>36</v>
      </c>
      <c r="D2" s="0" t="inlineStr">
        <is>
          <t>L89:8 + L90:8 + L93:4 + L94:4 + L96:9 + L98:3</t>
        </is>
      </c>
    </row>
    <row r="3">
      <c r="A3" s="0" t="inlineStr">
        <is>
          <t>日高</t>
        </is>
      </c>
      <c r="B3" s="0" t="inlineStr">
        <is>
          <t>国</t>
        </is>
      </c>
      <c r="C3" s="0" t="n">
        <v>47</v>
      </c>
      <c r="D3" s="0" t="inlineStr">
        <is>
          <t>D77:9 + L77:11 + L78:9 + L79:4 + D80:5 + L80:3 + L81:3 + L82:3</t>
        </is>
      </c>
    </row>
    <row r="4">
      <c r="A4" s="0" t="inlineStr">
        <is>
          <t>副島</t>
        </is>
      </c>
      <c r="B4" s="0" t="inlineStr">
        <is>
          <t>国</t>
        </is>
      </c>
      <c r="C4" s="0" t="n">
        <v>27</v>
      </c>
      <c r="D4" s="0" t="inlineStr">
        <is>
          <t>D91:5 + L91:5 + D92:5 + L92:5 + L97:4 + L99:3</t>
        </is>
      </c>
    </row>
    <row r="5">
      <c r="A5" s="0" t="inlineStr">
        <is>
          <t>佐藤</t>
        </is>
      </c>
      <c r="B5" s="0" t="inlineStr">
        <is>
          <t>国</t>
        </is>
      </c>
      <c r="C5" s="0" t="n">
        <v>36</v>
      </c>
      <c r="D5" s="0" t="inlineStr">
        <is>
          <t>D89:8 + D90:8 + D93:4 + D94:4 + D96:9 + D99:3</t>
        </is>
      </c>
    </row>
    <row r="6">
      <c r="A6" s="0" t="inlineStr">
        <is>
          <t>長本</t>
        </is>
      </c>
      <c r="B6" s="0" t="inlineStr">
        <is>
          <t>国</t>
        </is>
      </c>
      <c r="C6" s="0" t="n">
        <v>34</v>
      </c>
      <c r="D6" s="0" t="inlineStr">
        <is>
          <t>D78:8 + D79:8 + D81:5 + D82:5 + D83:4 + D84:4</t>
        </is>
      </c>
    </row>
    <row r="7">
      <c r="A7" s="0" t="inlineStr">
        <is>
          <t>右田</t>
        </is>
      </c>
      <c r="B7" s="0" t="inlineStr">
        <is>
          <t>国</t>
        </is>
      </c>
      <c r="C7" s="0" t="n">
        <v>7</v>
      </c>
      <c r="D7" s="0" t="inlineStr">
        <is>
          <t>D97:4 + D98:3</t>
        </is>
      </c>
    </row>
    <row r="8">
      <c r="A8" s="0" t="inlineStr">
        <is>
          <t>髙本</t>
        </is>
      </c>
      <c r="B8" s="0" t="inlineStr">
        <is>
          <t>数</t>
        </is>
      </c>
      <c r="C8" s="0" t="n">
        <v>38</v>
      </c>
      <c r="D8" s="0" t="inlineStr">
        <is>
          <t>M89:12 + M91:7 + M93:6 + M96:13</t>
        </is>
      </c>
    </row>
    <row r="9">
      <c r="A9" s="0" t="inlineStr">
        <is>
          <t>小野</t>
        </is>
      </c>
      <c r="B9" s="0" t="inlineStr">
        <is>
          <t>数</t>
        </is>
      </c>
      <c r="C9" s="0" t="n">
        <v>37</v>
      </c>
      <c r="D9" s="0" t="inlineStr">
        <is>
          <t>E89:12 + E96:13 + E97:5 + E98:4 + E99:3</t>
        </is>
      </c>
    </row>
    <row r="10">
      <c r="A10" s="0" t="inlineStr">
        <is>
          <t>黒岩</t>
        </is>
      </c>
      <c r="B10" s="0" t="inlineStr">
        <is>
          <t>数</t>
        </is>
      </c>
      <c r="C10" s="0" t="n">
        <v>50</v>
      </c>
      <c r="D10" s="0" t="inlineStr">
        <is>
          <t>E77:14 + M77:17 + E80:7 + E81:6 + E82:6</t>
        </is>
      </c>
    </row>
    <row r="11">
      <c r="A11" s="0" t="inlineStr">
        <is>
          <t>伊地知</t>
        </is>
      </c>
      <c r="B11" s="0" t="inlineStr">
        <is>
          <t>数</t>
        </is>
      </c>
      <c r="C11" s="0" t="n">
        <v>43</v>
      </c>
      <c r="D11" s="0" t="inlineStr">
        <is>
          <t>M90:12 + M92:6 + M94:5 + M97:5 + M98:4 + P98:5 + M99:3 + P99:3</t>
        </is>
      </c>
    </row>
    <row r="12">
      <c r="A12" s="0" t="inlineStr">
        <is>
          <t>平井</t>
        </is>
      </c>
      <c r="B12" s="0" t="inlineStr">
        <is>
          <t>数</t>
        </is>
      </c>
      <c r="C12" s="0" t="n">
        <v>51</v>
      </c>
      <c r="D12" s="0" t="inlineStr">
        <is>
          <t>E78:12 + M78:13 + E79:12 + M79:5 + P80:5 + M81:4</t>
        </is>
      </c>
    </row>
    <row r="13">
      <c r="A13" s="0" t="inlineStr">
        <is>
          <t>古賀</t>
        </is>
      </c>
      <c r="B13" s="0" t="inlineStr">
        <is>
          <t>数</t>
        </is>
      </c>
      <c r="C13" s="0" t="n">
        <v>48</v>
      </c>
      <c r="D13" s="0" t="inlineStr">
        <is>
          <t>M80:4 + E90:12 + E91:7 + E92:6 + E93:6 + E94:5 + H98:5 + H99:3</t>
        </is>
      </c>
    </row>
    <row r="14">
      <c r="A14" s="0" t="inlineStr">
        <is>
          <t>平野</t>
        </is>
      </c>
      <c r="B14" s="0" t="inlineStr">
        <is>
          <t>数</t>
        </is>
      </c>
      <c r="C14" s="0" t="n">
        <v>17</v>
      </c>
      <c r="D14" s="0" t="inlineStr">
        <is>
          <t>M82:3 + P82:3 + E83:6 + E84:5</t>
        </is>
      </c>
    </row>
    <row r="15">
      <c r="A15" s="0" t="inlineStr">
        <is>
          <t>藤田</t>
        </is>
      </c>
      <c r="B15" s="0" t="inlineStr">
        <is>
          <t>社</t>
        </is>
      </c>
      <c r="C15" s="0" t="n">
        <v>21</v>
      </c>
      <c r="D15" s="0" t="inlineStr">
        <is>
          <t>F77:9 + N77:12</t>
        </is>
      </c>
    </row>
    <row r="16">
      <c r="A16" s="0" t="inlineStr">
        <is>
          <t>岡野</t>
        </is>
      </c>
      <c r="B16" s="0" t="inlineStr">
        <is>
          <t>社</t>
        </is>
      </c>
      <c r="C16" s="0" t="n">
        <v>51</v>
      </c>
      <c r="D16" s="0" t="inlineStr">
        <is>
          <t>F78:9 + N78:10 + F79:9 + F80:5 + N80:3 + F81:5 + F82:5 + M83:5</t>
        </is>
      </c>
    </row>
    <row r="17">
      <c r="A17" s="0" t="inlineStr">
        <is>
          <t>右田</t>
        </is>
      </c>
      <c r="B17" s="0" t="inlineStr">
        <is>
          <t>社</t>
        </is>
      </c>
      <c r="C17" s="0" t="n">
        <v>27</v>
      </c>
      <c r="D17" s="0" t="inlineStr">
        <is>
          <t>F83:4 + F84:4 + N89:9 + N91:5 + N92:5</t>
        </is>
      </c>
    </row>
    <row r="18">
      <c r="A18" s="0" t="inlineStr">
        <is>
          <t>長本</t>
        </is>
      </c>
      <c r="B18" s="0" t="inlineStr">
        <is>
          <t>社</t>
        </is>
      </c>
      <c r="C18" s="0" t="n">
        <v>6</v>
      </c>
      <c r="D18" s="0" t="inlineStr">
        <is>
          <t>N79:3 + N81:3</t>
        </is>
      </c>
    </row>
    <row r="19">
      <c r="A19" s="0" t="inlineStr">
        <is>
          <t>山内</t>
        </is>
      </c>
      <c r="B19" s="0" t="inlineStr">
        <is>
          <t>社</t>
        </is>
      </c>
      <c r="C19" s="0" t="n">
        <v>47</v>
      </c>
      <c r="D19" s="0" t="inlineStr">
        <is>
          <t>F89:9 + F90:9 + F93:4 + F94:4 + F96:10 + F97:3 + F98:3 + E100:5</t>
        </is>
      </c>
    </row>
    <row r="20">
      <c r="A20" s="0" t="inlineStr">
        <is>
          <t>副島</t>
        </is>
      </c>
      <c r="B20" s="0" t="inlineStr">
        <is>
          <t>社</t>
        </is>
      </c>
      <c r="C20" s="0" t="n">
        <v>11</v>
      </c>
      <c r="D20" s="0" t="inlineStr">
        <is>
          <t>N93:4 + N94:4 + N98:3</t>
        </is>
      </c>
    </row>
    <row r="21">
      <c r="A21" s="0" t="inlineStr">
        <is>
          <t>佐藤</t>
        </is>
      </c>
      <c r="B21" s="0" t="inlineStr">
        <is>
          <t>社</t>
        </is>
      </c>
      <c r="C21" s="0" t="n">
        <v>10</v>
      </c>
      <c r="D21" s="0" t="inlineStr">
        <is>
          <t>F91:5 + F92:5</t>
        </is>
      </c>
    </row>
    <row r="22">
      <c r="A22" s="0" t="inlineStr">
        <is>
          <t>中嶋</t>
        </is>
      </c>
      <c r="B22" s="0" t="inlineStr">
        <is>
          <t>社</t>
        </is>
      </c>
      <c r="C22" s="0" t="n">
        <v>27</v>
      </c>
      <c r="D22" s="0" t="inlineStr">
        <is>
          <t>N90:9 + N96:10 + N97:3 + M100:5</t>
        </is>
      </c>
    </row>
    <row r="23">
      <c r="A23" s="0" t="inlineStr">
        <is>
          <t>神田</t>
        </is>
      </c>
      <c r="B23" s="0" t="inlineStr">
        <is>
          <t>理</t>
        </is>
      </c>
      <c r="C23" s="0" t="n">
        <v>46</v>
      </c>
      <c r="D23" s="0" t="inlineStr">
        <is>
          <t>G89:9 + G90:9 + G93:4 + G94:4 + G96:10 + O97:3 + O98:3 + G100:4</t>
        </is>
      </c>
    </row>
    <row r="24">
      <c r="A24" s="0" t="inlineStr">
        <is>
          <t>田代</t>
        </is>
      </c>
      <c r="B24" s="0" t="inlineStr">
        <is>
          <t>理</t>
        </is>
      </c>
      <c r="C24" s="0" t="n">
        <v>39</v>
      </c>
      <c r="D24" s="0" t="inlineStr">
        <is>
          <t>O89:9 + G91:5 + G92:5 + O96:10 + G97:3 + G98:3 + O100:4</t>
        </is>
      </c>
    </row>
    <row r="25">
      <c r="A25" s="0" t="inlineStr">
        <is>
          <t>和久</t>
        </is>
      </c>
      <c r="B25" s="0" t="inlineStr">
        <is>
          <t>理</t>
        </is>
      </c>
      <c r="C25" s="0" t="n">
        <v>26</v>
      </c>
      <c r="D25" s="0" t="inlineStr">
        <is>
          <t>G77:9 + O77:12 + G80:5</t>
        </is>
      </c>
    </row>
    <row r="26">
      <c r="A26" s="0" t="inlineStr">
        <is>
          <t>大山</t>
        </is>
      </c>
      <c r="B26" s="0" t="inlineStr">
        <is>
          <t>理</t>
        </is>
      </c>
      <c r="C26" s="0" t="n">
        <v>30</v>
      </c>
      <c r="D26" s="0" t="inlineStr">
        <is>
          <t>G79:9 + O80:3 + G81:5 + G82:5 + G83:4 + G84:4</t>
        </is>
      </c>
    </row>
    <row r="27">
      <c r="A27" s="0" t="inlineStr">
        <is>
          <t>平野</t>
        </is>
      </c>
      <c r="B27" s="0" t="inlineStr">
        <is>
          <t>理</t>
        </is>
      </c>
      <c r="C27" s="0" t="n">
        <v>29</v>
      </c>
      <c r="D27" s="0" t="inlineStr">
        <is>
          <t>G78:9 + O78:10 + O79:3 + O81:3 + O83:4</t>
        </is>
      </c>
    </row>
    <row r="28">
      <c r="A28" s="0" t="inlineStr">
        <is>
          <t>倉光</t>
        </is>
      </c>
      <c r="B28" s="0" t="inlineStr">
        <is>
          <t>理</t>
        </is>
      </c>
      <c r="C28" s="0" t="n">
        <v>27</v>
      </c>
      <c r="D28" s="0" t="inlineStr">
        <is>
          <t>O90:9 + O91:5 + O92:5 + O93:4 + O94:4</t>
        </is>
      </c>
    </row>
    <row r="29">
      <c r="A29" s="0" t="inlineStr">
        <is>
          <t>中村</t>
        </is>
      </c>
      <c r="B29" s="0" t="inlineStr">
        <is>
          <t>英</t>
        </is>
      </c>
      <c r="C29" s="0" t="n">
        <v>40</v>
      </c>
      <c r="D29" s="0" t="inlineStr">
        <is>
          <t>H89:10 + H90:10 + H91:7 + H93:8 + H94:5</t>
        </is>
      </c>
    </row>
    <row r="30">
      <c r="A30" s="0" t="inlineStr">
        <is>
          <t>中嶋</t>
        </is>
      </c>
      <c r="B30" s="0" t="inlineStr">
        <is>
          <t>英</t>
        </is>
      </c>
      <c r="C30" s="0" t="n">
        <v>38</v>
      </c>
      <c r="D30" s="0" t="inlineStr">
        <is>
          <t>P89:10 + P90:10 + P91:7 + P92:6 + P94:5</t>
        </is>
      </c>
    </row>
    <row r="31">
      <c r="A31" s="0" t="inlineStr">
        <is>
          <t>土井下</t>
        </is>
      </c>
      <c r="B31" s="0" t="inlineStr">
        <is>
          <t>英</t>
        </is>
      </c>
      <c r="C31" s="0" t="n">
        <v>38</v>
      </c>
      <c r="D31" s="0" t="inlineStr">
        <is>
          <t>H77:13 + H78:10 + H80:7 + H83:8</t>
        </is>
      </c>
    </row>
    <row r="32">
      <c r="A32" s="0" t="inlineStr">
        <is>
          <t>原</t>
        </is>
      </c>
      <c r="B32" s="0" t="inlineStr">
        <is>
          <t>英</t>
        </is>
      </c>
      <c r="C32" s="0" t="n">
        <v>27</v>
      </c>
      <c r="D32" s="0" t="inlineStr">
        <is>
          <t>H79:10 + H81:6 + H82:6 + H84:5</t>
        </is>
      </c>
    </row>
    <row r="33">
      <c r="A33" s="0" t="inlineStr">
        <is>
          <t>大山</t>
        </is>
      </c>
      <c r="B33" s="0" t="inlineStr">
        <is>
          <t>英</t>
        </is>
      </c>
      <c r="C33" s="0" t="n">
        <v>14</v>
      </c>
      <c r="D33" s="0" t="inlineStr">
        <is>
          <t>H92:6 + P93:8</t>
        </is>
      </c>
    </row>
    <row r="35">
      <c r="A35" s="0" t="inlineStr">
        <is>
          <t>※シート「R8表紙プランA」の「３．担当者」表を集計。担任列は含めない。</t>
        </is>
      </c>
    </row>
    <row r="36">
      <c r="A36" s="0" t="inlineStr">
        <is>
          <t>※高校：原5?(D85)、古賀5?(D101)、髙本・北原5?(L101) は「他教科」欄に高5?として記載（未確定）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view="pageBreakPreview" zoomScale="115" zoomScaleNormal="85" zoomScaleSheetLayoutView="115" workbookViewId="0">
      <selection activeCell="D5" sqref="D5:E1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154" t="inlineStr">
        <is>
          <t>R7年度　冬期講座　時間割表紙</t>
        </is>
      </c>
      <c r="N1" s="1155" t="inlineStr">
        <is>
          <t>更新日</t>
        </is>
      </c>
      <c r="P1" s="1157" t="n">
        <v>45971</v>
      </c>
      <c r="R1" s="1157" t="n"/>
    </row>
    <row r="2" ht="16.15" customHeight="1" s="1428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3</v>
      </c>
      <c r="J2" s="135" t="n">
        <v>3</v>
      </c>
      <c r="K2" s="135" t="n">
        <v>6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076" t="inlineStr">
        <is>
          <t>日付</t>
        </is>
      </c>
      <c r="C3" s="1429" t="n">
        <v>46008</v>
      </c>
      <c r="D3" s="1429" t="n">
        <v>46009</v>
      </c>
      <c r="E3" s="1429" t="n">
        <v>46010</v>
      </c>
      <c r="F3" s="1430" t="n">
        <v>46011</v>
      </c>
      <c r="G3" s="1430" t="n">
        <v>46012</v>
      </c>
      <c r="H3" s="1430" t="n">
        <v>46013</v>
      </c>
      <c r="I3" s="1430" t="n">
        <v>46014</v>
      </c>
      <c r="J3" s="1430" t="n">
        <v>46015</v>
      </c>
      <c r="K3" s="1430" t="n">
        <v>46016</v>
      </c>
      <c r="L3" s="1430" t="n">
        <v>46017</v>
      </c>
      <c r="M3" s="1430" t="n">
        <v>46018</v>
      </c>
      <c r="N3" s="1430" t="n">
        <v>46019</v>
      </c>
      <c r="O3" s="1430" t="n">
        <v>46020</v>
      </c>
      <c r="P3" s="1430" t="n">
        <v>46021</v>
      </c>
      <c r="Q3" s="1430" t="n">
        <v>46022</v>
      </c>
      <c r="R3" s="1431" t="n"/>
    </row>
    <row r="4" ht="13.15" customFormat="1" customHeight="1" s="7">
      <c r="B4" s="1076" t="inlineStr">
        <is>
          <t>曜日</t>
        </is>
      </c>
      <c r="C4" s="1432">
        <f>C3</f>
        <v/>
      </c>
      <c r="D4" s="1432">
        <f>D3</f>
        <v/>
      </c>
      <c r="E4" s="1432">
        <f>E3</f>
        <v/>
      </c>
      <c r="F4" s="1434">
        <f>F3</f>
        <v/>
      </c>
      <c r="G4" s="1434">
        <f>G3</f>
        <v/>
      </c>
      <c r="H4" s="1435">
        <f>H3</f>
        <v/>
      </c>
      <c r="I4" s="1433">
        <f>I3</f>
        <v/>
      </c>
      <c r="J4" s="1433">
        <f>J3</f>
        <v/>
      </c>
      <c r="K4" s="1433">
        <f>K3</f>
        <v/>
      </c>
      <c r="L4" s="1433">
        <f>L3</f>
        <v/>
      </c>
      <c r="M4" s="1434">
        <f>M3</f>
        <v/>
      </c>
      <c r="N4" s="1434">
        <f>N3</f>
        <v/>
      </c>
      <c r="O4" s="1435">
        <f>O3</f>
        <v/>
      </c>
      <c r="P4" s="1433">
        <f>P3</f>
        <v/>
      </c>
      <c r="Q4" s="1433">
        <f>Q3</f>
        <v/>
      </c>
      <c r="R4" s="1436" t="n"/>
    </row>
    <row r="5" ht="13.15" customFormat="1" customHeight="1" s="7">
      <c r="B5" s="1076" t="inlineStr">
        <is>
          <t>①</t>
        </is>
      </c>
      <c r="C5" s="1437" t="inlineStr">
        <is>
          <t>最終授業</t>
        </is>
      </c>
      <c r="D5" s="1476" t="inlineStr">
        <is>
          <t>講座準備</t>
        </is>
      </c>
      <c r="E5" s="1438" t="inlineStr">
        <is>
          <t>講座準備
中３集合</t>
        </is>
      </c>
      <c r="F5" s="8" t="n"/>
      <c r="G5" s="8" t="n"/>
      <c r="H5" s="1438" t="inlineStr">
        <is>
          <t>休館</t>
        </is>
      </c>
      <c r="I5" s="1477" t="inlineStr">
        <is>
          <t>学校
終業式</t>
        </is>
      </c>
      <c r="J5" s="1478" t="inlineStr">
        <is>
          <t>学校
終業式
(市外)</t>
        </is>
      </c>
      <c r="K5" s="8" t="n"/>
      <c r="L5" s="8" t="n"/>
      <c r="M5" s="8" t="n"/>
      <c r="N5" s="8" t="n"/>
      <c r="O5" s="8" t="n"/>
      <c r="P5" s="8" t="n"/>
      <c r="Q5" s="1438" t="inlineStr">
        <is>
          <t>休館</t>
        </is>
      </c>
      <c r="R5" s="10" t="n"/>
    </row>
    <row r="6" ht="13.15" customFormat="1" customHeight="1" s="7">
      <c r="B6" s="1076" t="inlineStr">
        <is>
          <t>②</t>
        </is>
      </c>
      <c r="C6" s="1442" t="n"/>
      <c r="D6" s="1442" t="n"/>
      <c r="E6" s="1442" t="n"/>
      <c r="F6" s="8" t="n"/>
      <c r="G6" s="8" t="n"/>
      <c r="H6" s="1442" t="n"/>
      <c r="I6" s="1442" t="n"/>
      <c r="J6" s="1442" t="n"/>
      <c r="K6" s="8" t="n"/>
      <c r="L6" s="8" t="n"/>
      <c r="M6" s="8" t="n"/>
      <c r="N6" s="8" t="n"/>
      <c r="O6" s="8" t="n"/>
      <c r="P6" s="8" t="n"/>
      <c r="Q6" s="1442" t="n"/>
      <c r="R6" s="10" t="n"/>
    </row>
    <row r="7" ht="13.15" customFormat="1" customHeight="1" s="7">
      <c r="B7" s="1076" t="inlineStr">
        <is>
          <t>③</t>
        </is>
      </c>
      <c r="C7" s="1442" t="n"/>
      <c r="D7" s="1442" t="n"/>
      <c r="E7" s="1442" t="n"/>
      <c r="F7" s="8" t="n"/>
      <c r="G7" s="8" t="n"/>
      <c r="H7" s="1442" t="n"/>
      <c r="I7" s="1443" t="n"/>
      <c r="J7" s="1443" t="n"/>
      <c r="K7" s="8" t="n"/>
      <c r="L7" s="8" t="n"/>
      <c r="M7" s="8" t="n"/>
      <c r="N7" s="8" t="n"/>
      <c r="O7" s="8" t="n"/>
      <c r="P7" s="8" t="n"/>
      <c r="Q7" s="1442" t="n"/>
      <c r="R7" s="10" t="n"/>
    </row>
    <row r="8" ht="13.15" customFormat="1" customHeight="1" s="7">
      <c r="B8" s="1076" t="inlineStr">
        <is>
          <t>④</t>
        </is>
      </c>
      <c r="C8" s="1442" t="n"/>
      <c r="D8" s="1442" t="n"/>
      <c r="E8" s="1442" t="n"/>
      <c r="F8" s="8" t="n"/>
      <c r="G8" s="8" t="n"/>
      <c r="H8" s="1442" t="n"/>
      <c r="I8" s="8" t="n"/>
      <c r="J8" s="8" t="n"/>
      <c r="K8" s="8" t="n"/>
      <c r="L8" s="8" t="n"/>
      <c r="M8" s="8" t="n"/>
      <c r="N8" s="8" t="n"/>
      <c r="O8" s="8" t="n"/>
      <c r="P8" s="8" t="n"/>
      <c r="Q8" s="1442" t="n"/>
      <c r="R8" s="10" t="n"/>
    </row>
    <row r="9" ht="13.15" customFormat="1" customHeight="1" s="7">
      <c r="B9" s="1076" t="inlineStr">
        <is>
          <t>⑤</t>
        </is>
      </c>
      <c r="C9" s="1442" t="n"/>
      <c r="D9" s="1442" t="n"/>
      <c r="E9" s="1442" t="n"/>
      <c r="F9" s="8" t="n"/>
      <c r="G9" s="8" t="n"/>
      <c r="H9" s="1442" t="n"/>
      <c r="I9" s="8" t="n"/>
      <c r="J9" s="8" t="n"/>
      <c r="K9" s="8" t="n"/>
      <c r="L9" s="8" t="n"/>
      <c r="M9" s="8" t="n"/>
      <c r="N9" s="8" t="n"/>
      <c r="O9" s="8" t="n"/>
      <c r="P9" s="8" t="n"/>
      <c r="Q9" s="1442" t="n"/>
      <c r="R9" s="10" t="n"/>
      <c r="T9" s="9" t="n"/>
    </row>
    <row r="10" ht="13.15" customFormat="1" customHeight="1" s="7">
      <c r="B10" s="1076" t="inlineStr">
        <is>
          <t>⑥</t>
        </is>
      </c>
      <c r="C10" s="1442" t="n"/>
      <c r="D10" s="1442" t="n"/>
      <c r="E10" s="1442" t="n"/>
      <c r="F10" s="8" t="n"/>
      <c r="G10" s="8" t="n"/>
      <c r="H10" s="1442" t="n"/>
      <c r="I10" s="8" t="n"/>
      <c r="J10" s="8" t="n"/>
      <c r="K10" s="8" t="n"/>
      <c r="L10" s="8" t="n"/>
      <c r="M10" s="8" t="n"/>
      <c r="N10" s="8" t="n"/>
      <c r="O10" s="8" t="n"/>
      <c r="P10" s="8" t="n"/>
      <c r="Q10" s="1442" t="n"/>
      <c r="R10" s="10" t="n"/>
    </row>
    <row r="11" ht="13.15" customFormat="1" customHeight="1" s="7">
      <c r="B11" s="1076" t="inlineStr">
        <is>
          <t>自習</t>
        </is>
      </c>
      <c r="C11" s="1443" t="n"/>
      <c r="D11" s="1443" t="n"/>
      <c r="E11" s="1443" t="n"/>
      <c r="F11" s="1007" t="n"/>
      <c r="G11" s="1007" t="n"/>
      <c r="H11" s="1443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443" t="n"/>
      <c r="R11" s="10" t="n"/>
    </row>
    <row r="12" ht="13.15" customHeight="1" s="1428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28">
      <c r="B13" s="1076" t="inlineStr">
        <is>
          <t>日付</t>
        </is>
      </c>
      <c r="C13" s="1430" t="n">
        <v>46023</v>
      </c>
      <c r="D13" s="1430" t="n">
        <v>46024</v>
      </c>
      <c r="E13" s="1430" t="n">
        <v>46025</v>
      </c>
      <c r="F13" s="1430" t="n">
        <v>46026</v>
      </c>
      <c r="G13" s="1430" t="n">
        <v>46027</v>
      </c>
      <c r="H13" s="1430" t="n">
        <v>46028</v>
      </c>
      <c r="I13" s="1429" t="n">
        <v>46029</v>
      </c>
      <c r="J13" s="1429" t="n">
        <v>46030</v>
      </c>
      <c r="K13" s="1429" t="n">
        <v>46031</v>
      </c>
      <c r="L13" s="1429" t="n">
        <v>46032</v>
      </c>
      <c r="N13" s="1132" t="inlineStr">
        <is>
          <t>【R8中学入試】
1/4博女A
1/5東明館
1/6弘学館，中村前期
【R8高校入試】
1/5東明館A
1/6弘学館</t>
        </is>
      </c>
      <c r="R13" s="1431" t="n"/>
      <c r="S13" s="7" t="n"/>
      <c r="T13" s="7" t="n"/>
    </row>
    <row r="14" ht="13.15" customHeight="1" s="1428">
      <c r="B14" s="1076" t="inlineStr">
        <is>
          <t>曜日</t>
        </is>
      </c>
      <c r="C14" s="1433">
        <f>C13</f>
        <v/>
      </c>
      <c r="D14" s="1433">
        <f>D13</f>
        <v/>
      </c>
      <c r="E14" s="1434">
        <f>E13</f>
        <v/>
      </c>
      <c r="F14" s="1434">
        <f>F13</f>
        <v/>
      </c>
      <c r="G14" s="1433">
        <f>G13</f>
        <v/>
      </c>
      <c r="H14" s="1433">
        <f>H13</f>
        <v/>
      </c>
      <c r="I14" s="1432">
        <f>I13</f>
        <v/>
      </c>
      <c r="J14" s="1432">
        <f>J13</f>
        <v/>
      </c>
      <c r="K14" s="1432">
        <f>K13</f>
        <v/>
      </c>
      <c r="L14" s="1444">
        <f>L13</f>
        <v/>
      </c>
      <c r="M14" s="1010" t="n"/>
      <c r="R14" s="1436" t="n"/>
    </row>
    <row r="15" ht="13.15" customHeight="1" s="1428">
      <c r="B15" s="1076" t="inlineStr">
        <is>
          <t>①</t>
        </is>
      </c>
      <c r="C15" s="1438" t="inlineStr">
        <is>
          <t>休館</t>
        </is>
      </c>
      <c r="D15" s="1007" t="n"/>
      <c r="E15" s="8" t="n"/>
      <c r="F15" s="8" t="n"/>
      <c r="G15" s="8" t="n"/>
      <c r="H15" s="1445" t="inlineStr">
        <is>
          <t>反省
テスト</t>
        </is>
      </c>
      <c r="I15" s="1446" t="inlineStr">
        <is>
          <t>学校
始業式
後受け
成績処理
鏡開き</t>
        </is>
      </c>
      <c r="J15" s="1447" t="inlineStr">
        <is>
          <t>学校
始業式
（市外)
授業開始</t>
        </is>
      </c>
      <c r="K15" s="1054" t="n"/>
      <c r="L15" s="1054" t="n"/>
      <c r="M15" s="1010" t="n"/>
      <c r="R15" s="1153" t="n"/>
    </row>
    <row r="16" ht="13.15" customHeight="1" s="1428">
      <c r="B16" s="1076" t="inlineStr">
        <is>
          <t>②</t>
        </is>
      </c>
      <c r="C16" s="1442" t="n"/>
      <c r="D16" s="1007" t="n"/>
      <c r="E16" s="8" t="n"/>
      <c r="F16" s="8" t="n"/>
      <c r="G16" s="8" t="n"/>
      <c r="H16" s="1442" t="n"/>
      <c r="I16" s="1442" t="n"/>
      <c r="J16" s="1442" t="n"/>
      <c r="K16" s="1054" t="n"/>
      <c r="L16" s="1054" t="n"/>
      <c r="M16" s="1010" t="n"/>
    </row>
    <row r="17" ht="13.15" customHeight="1" s="1428">
      <c r="B17" s="1076" t="inlineStr">
        <is>
          <t>③</t>
        </is>
      </c>
      <c r="C17" s="1442" t="n"/>
      <c r="D17" s="1448" t="inlineStr">
        <is>
          <t>特別時制</t>
        </is>
      </c>
      <c r="E17" s="8" t="n"/>
      <c r="F17" s="8" t="n"/>
      <c r="G17" s="8" t="n"/>
      <c r="H17" s="1442" t="n"/>
      <c r="I17" s="1442" t="n"/>
      <c r="J17" s="1442" t="n"/>
      <c r="K17" s="1054" t="n"/>
      <c r="L17" s="1054" t="n"/>
      <c r="M17" s="1010" t="n"/>
    </row>
    <row r="18" ht="13.15" customHeight="1" s="1428">
      <c r="B18" s="1076" t="inlineStr">
        <is>
          <t>④</t>
        </is>
      </c>
      <c r="C18" s="1442" t="n"/>
      <c r="D18" s="1442" t="n"/>
      <c r="E18" s="8" t="n"/>
      <c r="F18" s="8" t="n"/>
      <c r="G18" s="8" t="n"/>
      <c r="H18" s="1442" t="n"/>
      <c r="I18" s="1442" t="n"/>
      <c r="J18" s="1442" t="n"/>
      <c r="K18" s="1054" t="n"/>
      <c r="L18" s="1054" t="n"/>
      <c r="M18" s="1010" t="n"/>
    </row>
    <row r="19" ht="13.15" customHeight="1" s="1428">
      <c r="B19" s="1076" t="inlineStr">
        <is>
          <t>⑤</t>
        </is>
      </c>
      <c r="C19" s="1442" t="n"/>
      <c r="D19" s="1443" t="n"/>
      <c r="E19" s="8" t="n"/>
      <c r="F19" s="8" t="n"/>
      <c r="G19" s="8" t="n"/>
      <c r="H19" s="1442" t="n"/>
      <c r="I19" s="1442" t="n"/>
      <c r="J19" s="1442" t="n"/>
      <c r="K19" s="1054" t="n"/>
      <c r="L19" s="1054" t="n"/>
      <c r="M19" s="1010" t="n"/>
    </row>
    <row r="20" ht="13.15" customHeight="1" s="1428">
      <c r="B20" s="1076" t="inlineStr">
        <is>
          <t>⑥</t>
        </is>
      </c>
      <c r="C20" s="1442" t="n"/>
      <c r="D20" s="1007" t="n"/>
      <c r="E20" s="8" t="n"/>
      <c r="F20" s="8" t="n"/>
      <c r="G20" s="8" t="n"/>
      <c r="H20" s="1442" t="n"/>
      <c r="I20" s="1442" t="n"/>
      <c r="J20" s="1442" t="n"/>
      <c r="K20" s="1054" t="n"/>
      <c r="L20" s="1054" t="n"/>
      <c r="M20" s="1010" t="n"/>
    </row>
    <row r="21" ht="13.15" customHeight="1" s="1428">
      <c r="B21" s="1076" t="inlineStr">
        <is>
          <t>自習</t>
        </is>
      </c>
      <c r="C21" s="1443" t="n"/>
      <c r="D21" s="1007" t="n"/>
      <c r="E21" s="1007" t="n"/>
      <c r="F21" s="1007" t="n"/>
      <c r="G21" s="1007" t="n"/>
      <c r="H21" s="1443" t="n"/>
      <c r="I21" s="1443" t="n"/>
      <c r="J21" s="1443" t="n"/>
      <c r="K21" s="1054" t="n"/>
      <c r="L21" s="1054" t="n"/>
      <c r="M21" s="1010" t="n"/>
    </row>
    <row r="22" ht="13.15" customHeight="1" s="1428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13.15" customHeight="1" s="1428">
      <c r="B23" s="1052" t="inlineStr">
        <is>
          <t>【期間】　12/20～1/6（全14日間　計78コマ　※12/22と12/31と1/1と1/6を除く　※高宮校は12/24①②③不可，全校舎12/23①②③不可）</t>
        </is>
      </c>
      <c r="H23" s="4" t="n"/>
    </row>
    <row r="24" ht="13.15" customHeight="1" s="1428">
      <c r="B24" s="1009" t="inlineStr">
        <is>
          <t>★R6年度→12/21～1/6（全15日間　計82コマ※1/1と1/6を除く）</t>
        </is>
      </c>
      <c r="J24" s="932" t="n"/>
      <c r="K24" s="932" t="n"/>
      <c r="L24" s="932" t="n"/>
      <c r="M24" s="932" t="n"/>
      <c r="N24" s="932" t="n"/>
      <c r="O24" s="932" t="n"/>
      <c r="P24" s="932" t="n"/>
      <c r="Q24" s="932" t="n"/>
      <c r="R24" s="1229" t="n"/>
    </row>
    <row r="25" ht="13.15" customHeight="1" s="1428">
      <c r="B25" s="1009" t="inlineStr">
        <is>
          <t>★R5年度→12/22～1/7（全15日間　計83コマ※1/1と1/7を除く）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229" t="n"/>
    </row>
    <row r="26" ht="13.15" customHeight="1" s="1428">
      <c r="B26" s="1009" t="inlineStr">
        <is>
          <t>★R4年度→12/23～1/8（全13日間　計73コマ※1/1と1/2と1/8を除く）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229" t="n"/>
    </row>
    <row r="27" ht="13.15" customHeight="1" s="1428">
      <c r="B27" s="1009" t="n"/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229" t="n"/>
    </row>
    <row r="28" ht="13.15" customFormat="1" customHeight="1" s="1164" thickBot="1">
      <c r="B28" s="1164" t="inlineStr">
        <is>
          <t>２．授業回数　※梅3特(最多)→全14日で54コマ→一日平均3.9コマ</t>
        </is>
      </c>
    </row>
    <row r="29" ht="13.15" customHeight="1" s="1428" thickBot="1">
      <c r="B29" s="1076" t="inlineStr">
        <is>
          <t>クラス</t>
        </is>
      </c>
      <c r="C29" s="1076" t="inlineStr">
        <is>
          <t>国</t>
        </is>
      </c>
      <c r="D29" s="1076" t="inlineStr">
        <is>
          <t>数</t>
        </is>
      </c>
      <c r="E29" s="1076" t="inlineStr">
        <is>
          <t>社</t>
        </is>
      </c>
      <c r="F29" s="1076" t="inlineStr">
        <is>
          <t>理</t>
        </is>
      </c>
      <c r="G29" s="1095" t="inlineStr">
        <is>
          <t>英</t>
        </is>
      </c>
      <c r="H29" s="18" t="inlineStr">
        <is>
          <t>計</t>
        </is>
      </c>
      <c r="I29" s="1018" t="inlineStr">
        <is>
          <t>R6</t>
        </is>
      </c>
      <c r="J29" s="1019" t="inlineStr">
        <is>
          <t>R5</t>
        </is>
      </c>
      <c r="K29" s="1076" t="inlineStr">
        <is>
          <t>クラス</t>
        </is>
      </c>
      <c r="L29" s="1076" t="inlineStr">
        <is>
          <t>国</t>
        </is>
      </c>
      <c r="M29" s="1076" t="inlineStr">
        <is>
          <t>算</t>
        </is>
      </c>
      <c r="N29" s="1076" t="inlineStr">
        <is>
          <t>社</t>
        </is>
      </c>
      <c r="O29" s="1095" t="inlineStr">
        <is>
          <t>理</t>
        </is>
      </c>
      <c r="P29" s="20" t="inlineStr">
        <is>
          <t>計</t>
        </is>
      </c>
      <c r="Q29" s="1018" t="inlineStr">
        <is>
          <t>R6</t>
        </is>
      </c>
      <c r="R29" s="1019" t="inlineStr">
        <is>
          <t>R5</t>
        </is>
      </c>
      <c r="T29" s="266" t="n"/>
    </row>
    <row r="30" ht="13.15" customHeight="1" s="1428">
      <c r="B30" s="21" t="inlineStr">
        <is>
          <t>梅3特</t>
        </is>
      </c>
      <c r="C30" s="129" t="n">
        <v>9</v>
      </c>
      <c r="D30" s="129" t="n">
        <v>14</v>
      </c>
      <c r="E30" s="129" t="n">
        <v>9</v>
      </c>
      <c r="F30" s="129" t="n">
        <v>9</v>
      </c>
      <c r="G30" s="229" t="n">
        <v>13</v>
      </c>
      <c r="H30" s="662">
        <f>SUM(C30:G30)</f>
        <v/>
      </c>
      <c r="I30" s="1119" t="n">
        <v>54</v>
      </c>
      <c r="J30" s="1120" t="n">
        <v>59</v>
      </c>
      <c r="K30" s="21" t="inlineStr">
        <is>
          <t>梅6JA</t>
        </is>
      </c>
      <c r="L30" s="129" t="n">
        <v>11</v>
      </c>
      <c r="M30" s="129" t="n">
        <v>17</v>
      </c>
      <c r="N30" s="129" t="n">
        <v>12</v>
      </c>
      <c r="O30" s="229" t="n">
        <v>12</v>
      </c>
      <c r="P30" s="130">
        <f>SUM(L30:O30)</f>
        <v/>
      </c>
      <c r="Q30" s="1119" t="n">
        <v>52</v>
      </c>
      <c r="R30" s="1120" t="n">
        <v>56</v>
      </c>
    </row>
    <row r="31" ht="13.15" customHeight="1" s="1428">
      <c r="B31" s="23" t="inlineStr">
        <is>
          <t>高西3A</t>
        </is>
      </c>
      <c r="C31" s="663" t="n">
        <v>8</v>
      </c>
      <c r="D31" s="663" t="n">
        <v>12</v>
      </c>
      <c r="E31" s="663" t="n">
        <v>9</v>
      </c>
      <c r="F31" s="663" t="n">
        <v>9</v>
      </c>
      <c r="G31" s="1012" t="n">
        <v>10</v>
      </c>
      <c r="H31" s="664">
        <f>SUM(C31:G31)</f>
        <v/>
      </c>
      <c r="I31" s="1119" t="n">
        <v>48</v>
      </c>
      <c r="J31" s="1120" t="n">
        <v>53</v>
      </c>
      <c r="K31" s="24" t="inlineStr">
        <is>
          <t>6J</t>
        </is>
      </c>
      <c r="L31" s="665" t="n">
        <v>9</v>
      </c>
      <c r="M31" s="665" t="n">
        <v>13</v>
      </c>
      <c r="N31" s="665" t="n">
        <v>10</v>
      </c>
      <c r="O31" s="666" t="n">
        <v>10</v>
      </c>
      <c r="P31" s="667">
        <f>SUM(L31:O31)</f>
        <v/>
      </c>
      <c r="Q31" s="1119" t="n">
        <v>42</v>
      </c>
      <c r="R31" s="1120" t="n">
        <v>45</v>
      </c>
    </row>
    <row r="32" ht="13.15" customHeight="1" s="1428">
      <c r="B32" s="24" t="inlineStr">
        <is>
          <t>梅3AB,高西3B</t>
        </is>
      </c>
      <c r="C32" s="665" t="n">
        <v>8</v>
      </c>
      <c r="D32" s="665" t="n">
        <v>12</v>
      </c>
      <c r="E32" s="665" t="n">
        <v>9</v>
      </c>
      <c r="F32" s="665" t="n">
        <v>9</v>
      </c>
      <c r="G32" s="666" t="n">
        <v>10</v>
      </c>
      <c r="H32" s="667">
        <f>SUM(C32:G32)</f>
        <v/>
      </c>
      <c r="I32" s="1119" t="n">
        <v>48</v>
      </c>
      <c r="J32" s="1120" t="n">
        <v>53</v>
      </c>
      <c r="K32" s="8" t="inlineStr">
        <is>
          <t>6通</t>
        </is>
      </c>
      <c r="L32" s="668" t="n">
        <v>4</v>
      </c>
      <c r="M32" s="668" t="n">
        <v>5</v>
      </c>
      <c r="N32" s="668" t="n">
        <v>3</v>
      </c>
      <c r="O32" s="1449" t="n">
        <v>3</v>
      </c>
      <c r="P32" s="1450">
        <f>SUM(L32:O33)</f>
        <v/>
      </c>
      <c r="Q32" s="1119" t="n">
        <v>15</v>
      </c>
      <c r="R32" s="1120" t="n">
        <v>15</v>
      </c>
    </row>
    <row r="33" ht="13.15" customHeight="1" s="1428">
      <c r="B33" s="21" t="inlineStr">
        <is>
          <t>2Ｔ</t>
        </is>
      </c>
      <c r="C33" s="129" t="n">
        <v>5</v>
      </c>
      <c r="D33" s="129" t="n">
        <v>7</v>
      </c>
      <c r="E33" s="129" t="n">
        <v>5</v>
      </c>
      <c r="F33" s="129" t="n">
        <v>5</v>
      </c>
      <c r="G33" s="229" t="n">
        <v>7</v>
      </c>
      <c r="H33" s="130">
        <f>SUM(C33:G33)</f>
        <v/>
      </c>
      <c r="I33" s="1119" t="n">
        <v>29</v>
      </c>
      <c r="J33" s="1120" t="n">
        <v>29</v>
      </c>
      <c r="K33" s="1443" t="n"/>
      <c r="L33" s="1443" t="n"/>
      <c r="M33" s="1443" t="n"/>
      <c r="N33" s="1443" t="n"/>
      <c r="O33" s="1451" t="n"/>
      <c r="P33" s="1452" t="n"/>
    </row>
    <row r="34" ht="13.15" customHeight="1" s="1428">
      <c r="B34" s="24" t="inlineStr">
        <is>
          <t>2AB</t>
        </is>
      </c>
      <c r="C34" s="665" t="n">
        <v>5</v>
      </c>
      <c r="D34" s="665" t="n">
        <v>6</v>
      </c>
      <c r="E34" s="665" t="n">
        <v>5</v>
      </c>
      <c r="F34" s="665" t="n">
        <v>5</v>
      </c>
      <c r="G34" s="1453" t="n">
        <v>6</v>
      </c>
      <c r="H34" s="667">
        <f>SUM(C34:G35)</f>
        <v/>
      </c>
      <c r="I34" s="1099" t="n">
        <v>27</v>
      </c>
      <c r="J34" s="1100" t="n">
        <v>27</v>
      </c>
      <c r="K34" s="21" t="inlineStr">
        <is>
          <t>5Ｈ</t>
        </is>
      </c>
      <c r="L34" s="1454" t="n">
        <v>3</v>
      </c>
      <c r="M34" s="1454" t="n">
        <v>4</v>
      </c>
      <c r="N34" s="1454" t="n">
        <v>3</v>
      </c>
      <c r="O34" s="1455" t="n">
        <v>3</v>
      </c>
      <c r="P34" s="1450">
        <f>SUM(L34:O34)</f>
        <v/>
      </c>
      <c r="Q34" s="1119" t="n">
        <v>13</v>
      </c>
      <c r="R34" s="1120" t="n">
        <v>13</v>
      </c>
    </row>
    <row r="35" ht="13.15" customHeight="1" s="1428">
      <c r="B35" s="1443" t="n"/>
      <c r="C35" s="1443" t="n"/>
      <c r="D35" s="1443" t="n"/>
      <c r="E35" s="1443" t="n"/>
      <c r="F35" s="1443" t="n"/>
      <c r="G35" s="1456" t="n"/>
      <c r="H35" s="1452" t="n"/>
      <c r="I35" s="1457" t="n"/>
      <c r="J35" s="1458" t="n"/>
      <c r="K35" s="1459" t="n"/>
      <c r="L35" s="1443" t="n"/>
      <c r="M35" s="1443" t="n"/>
      <c r="N35" s="1443" t="n"/>
      <c r="O35" s="1451" t="n"/>
      <c r="P35" s="1452" t="n"/>
    </row>
    <row r="36" ht="13.15" customHeight="1" s="1428">
      <c r="B36" s="21" t="inlineStr">
        <is>
          <t>梅1T,高西1A</t>
        </is>
      </c>
      <c r="C36" s="129" t="n">
        <v>4</v>
      </c>
      <c r="D36" s="129" t="n">
        <v>6</v>
      </c>
      <c r="E36" s="129" t="n">
        <v>4</v>
      </c>
      <c r="F36" s="129" t="n">
        <v>4</v>
      </c>
      <c r="G36" s="1011" t="n">
        <v>8</v>
      </c>
      <c r="H36" s="130">
        <f>SUM(C36:G36)</f>
        <v/>
      </c>
      <c r="I36" s="1119" t="n">
        <v>26</v>
      </c>
      <c r="J36" s="1120" t="n">
        <v>26</v>
      </c>
      <c r="K36" s="1121" t="inlineStr">
        <is>
          <t>4年</t>
        </is>
      </c>
      <c r="L36" s="1454" t="n">
        <v>3</v>
      </c>
      <c r="M36" s="1454" t="n">
        <v>3</v>
      </c>
      <c r="N36" s="1454" t="n">
        <v>0</v>
      </c>
      <c r="O36" s="1455" t="n">
        <v>0</v>
      </c>
      <c r="P36" s="1460">
        <f>SUM(L36:O36)</f>
        <v/>
      </c>
      <c r="Q36" s="1119" t="n">
        <v>6</v>
      </c>
      <c r="R36" s="1120" t="n">
        <v>6</v>
      </c>
    </row>
    <row r="37" ht="13.15" customHeight="1" s="1428" thickBot="1">
      <c r="B37" s="24" t="inlineStr">
        <is>
          <t>梅1A,高西1B</t>
        </is>
      </c>
      <c r="C37" s="665" t="n">
        <v>4</v>
      </c>
      <c r="D37" s="665" t="n">
        <v>5</v>
      </c>
      <c r="E37" s="665" t="n">
        <v>4</v>
      </c>
      <c r="F37" s="665" t="n">
        <v>4</v>
      </c>
      <c r="G37" s="1453" t="n">
        <v>5</v>
      </c>
      <c r="H37" s="1461">
        <f>SUM(C37:G38)</f>
        <v/>
      </c>
      <c r="I37" s="1099" t="n">
        <v>22</v>
      </c>
      <c r="J37" s="1100" t="n">
        <v>22</v>
      </c>
      <c r="K37" s="1442" t="n"/>
      <c r="L37" s="1443" t="n"/>
      <c r="M37" s="1443" t="n"/>
      <c r="N37" s="1443" t="n"/>
      <c r="O37" s="1451" t="n"/>
      <c r="P37" s="1462" t="n"/>
    </row>
    <row r="38" ht="13.15" customHeight="1" s="1428" thickBot="1">
      <c r="B38" s="1443" t="n"/>
      <c r="C38" s="1443" t="n"/>
      <c r="D38" s="1443" t="n"/>
      <c r="E38" s="1443" t="n"/>
      <c r="F38" s="1443" t="n"/>
      <c r="G38" s="1456" t="n"/>
      <c r="H38" s="1462" t="n"/>
      <c r="I38" s="1457" t="n"/>
      <c r="J38" s="1458" t="n"/>
      <c r="K38" s="1101" t="inlineStr">
        <is>
          <t>特別
講座</t>
        </is>
      </c>
      <c r="L38" s="1076" t="inlineStr">
        <is>
          <t>4年算数</t>
        </is>
      </c>
      <c r="M38" s="1076" t="inlineStr">
        <is>
          <t>5H算数</t>
        </is>
      </c>
      <c r="N38" s="1076" t="inlineStr">
        <is>
          <t>5H社会</t>
        </is>
      </c>
      <c r="O38" s="1095" t="inlineStr">
        <is>
          <t>5H理科</t>
        </is>
      </c>
      <c r="P38" s="1015" t="n"/>
      <c r="Q38" s="93" t="n"/>
    </row>
    <row r="39" ht="13.15" customHeight="1" s="1428" thickBot="1">
      <c r="B39" s="1103" t="inlineStr">
        <is>
          <t>※高校講座→5コマ？</t>
        </is>
      </c>
      <c r="I39" s="19" t="n"/>
      <c r="K39" s="1443" t="n"/>
      <c r="L39" s="668" t="n">
        <v>3</v>
      </c>
      <c r="M39" s="668" t="n">
        <v>5</v>
      </c>
      <c r="N39" s="1013" t="n">
        <v>5</v>
      </c>
      <c r="O39" s="1014" t="n">
        <v>4</v>
      </c>
      <c r="P39" s="1016" t="n"/>
    </row>
    <row r="40" ht="13.15" customHeight="1" s="1428">
      <c r="B40" s="30" t="n"/>
      <c r="C40" s="30" t="n"/>
      <c r="D40" s="30" t="n"/>
      <c r="E40" s="30" t="n"/>
      <c r="F40" s="19" t="n"/>
      <c r="G40" s="19" t="n"/>
      <c r="H40" s="19" t="n"/>
      <c r="I40" s="19" t="n"/>
      <c r="O40" s="228" t="n"/>
    </row>
    <row r="41" ht="13.15" customFormat="1" customHeight="1" s="34">
      <c r="B41" s="1463" t="inlineStr">
        <is>
          <t>注意点</t>
        </is>
      </c>
      <c r="C41" s="918" t="inlineStr">
        <is>
          <t>⑴　時間帯（1コマ90分）</t>
        </is>
      </c>
      <c r="D41" s="919" t="n"/>
      <c r="E41" s="919" t="n"/>
      <c r="F41" s="919" t="n"/>
      <c r="G41" s="919" t="n"/>
      <c r="H41" s="919" t="n"/>
      <c r="I41" s="919" t="n"/>
      <c r="J41" s="919" t="n"/>
      <c r="K41" s="919" t="n"/>
      <c r="L41" s="919" t="n"/>
      <c r="M41" s="919" t="n"/>
      <c r="N41" s="919" t="n"/>
      <c r="O41" s="919" t="n"/>
      <c r="P41" s="919" t="n"/>
      <c r="Q41" s="920" t="n"/>
    </row>
    <row r="42" ht="13.15" customFormat="1" customHeight="1" s="34">
      <c r="B42" s="1442" t="n"/>
      <c r="C42" s="1055" t="inlineStr">
        <is>
          <t xml:space="preserve"> ①9:30～11:00   ②11:15～12:45  ③13:20～14:50  ④15:05～16:35  ⑤16:50～18:20  ⑥18:35～20:05  質問受け等 20:15～20:50   </t>
        </is>
      </c>
      <c r="D42" s="921" t="n"/>
      <c r="E42" s="921" t="n"/>
      <c r="F42" s="921" t="n"/>
      <c r="G42" s="921" t="n"/>
      <c r="H42" s="921" t="n"/>
      <c r="I42" s="921" t="n"/>
      <c r="J42" s="921" t="n"/>
      <c r="K42" s="921" t="n"/>
      <c r="L42" s="921" t="n"/>
      <c r="M42" s="921" t="n"/>
      <c r="N42" s="921" t="n"/>
      <c r="O42" s="921" t="n"/>
      <c r="P42" s="921" t="n"/>
      <c r="Q42" s="922" t="n"/>
    </row>
    <row r="43" ht="13.15" customFormat="1" customHeight="1" s="34">
      <c r="B43" s="1442" t="n"/>
      <c r="C43" s="1464" t="inlineStr">
        <is>
          <t>⑵　期間　　12/22, 12/31, 1/1は休館</t>
        </is>
      </c>
      <c r="Q43" s="1458" t="n"/>
      <c r="R43" s="120" t="n"/>
    </row>
    <row r="44" ht="13.15" customFormat="1" customHeight="1" s="34">
      <c r="B44" s="1442" t="n"/>
      <c r="C44" s="1113" t="inlineStr">
        <is>
          <t>⑶　年末年始休み　　4年5ハイ6通と中1中2は12/30～1/3は休み(1特2特は12/31～1/3休み)，6受中3は12/31と1/1のみ休み</t>
        </is>
      </c>
      <c r="Q44" s="923" t="n"/>
    </row>
    <row r="45" ht="13.15" customFormat="1" customHeight="1" s="34">
      <c r="B45" s="1442" t="n"/>
      <c r="C45" s="1116" t="inlineStr">
        <is>
          <t>⑷　職員の公休　　12/30～1/3の間に3日(12/31と1/1含む)＋12/29までに2日(12/22含む)</t>
        </is>
      </c>
      <c r="Q45" s="922" t="n"/>
      <c r="R45" s="121" t="n"/>
    </row>
    <row r="46" ht="13.15" customFormat="1" customHeight="1" s="34">
      <c r="B46" s="1442" t="n"/>
      <c r="C46" s="1113" t="inlineStr">
        <is>
          <t>⑸　教員の授業は，１日最大５コマ，できれば４コマにおさえる</t>
        </is>
      </c>
      <c r="Q46" s="922" t="n"/>
      <c r="R46" s="121" t="n"/>
    </row>
    <row r="47" ht="13.15" customFormat="1" customHeight="1" s="34">
      <c r="B47" s="1442" t="n"/>
      <c r="C47" s="37" t="inlineStr">
        <is>
          <t>⑹　12/24または12/25の中1中2はできるだけ入れない</t>
        </is>
      </c>
      <c r="D47" s="38" t="n"/>
      <c r="E47" s="38" t="n"/>
      <c r="F47" s="38" t="n"/>
      <c r="G47" s="38" t="n"/>
      <c r="H47" s="38" t="n"/>
      <c r="I47" s="39" t="n"/>
      <c r="J47" s="38" t="n"/>
      <c r="K47" s="38" t="n"/>
      <c r="L47" s="38" t="n"/>
      <c r="M47" s="38" t="n"/>
      <c r="N47" s="38" t="n"/>
      <c r="O47" s="39" t="n"/>
      <c r="P47" s="39" t="n"/>
      <c r="Q47" s="35" t="n"/>
    </row>
    <row r="48" ht="13.15" customFormat="1" customHeight="1" s="34">
      <c r="B48" s="1443" t="n"/>
      <c r="C48" s="41" t="inlineStr">
        <is>
          <t>⑺　中3と6受の1月入試に注意(公立Bの東明館入試日は①～④限に入れない)</t>
        </is>
      </c>
      <c r="D48" s="42" t="n"/>
      <c r="E48" s="42" t="n"/>
      <c r="F48" s="42" t="n"/>
      <c r="G48" s="42" t="n"/>
      <c r="H48" s="42" t="n"/>
      <c r="I48" s="43" t="n"/>
      <c r="J48" s="42" t="n"/>
      <c r="K48" s="42" t="n"/>
      <c r="L48" s="42" t="n"/>
      <c r="M48" s="42" t="n"/>
      <c r="N48" s="42" t="n"/>
      <c r="O48" s="43" t="n"/>
      <c r="P48" s="43" t="n"/>
      <c r="Q48" s="44" t="n"/>
    </row>
    <row r="49" ht="13.15" customHeight="1" s="1428"/>
    <row r="50" ht="13.15" customHeight="1" s="1428">
      <c r="C50" s="1076" t="inlineStr">
        <is>
          <t>梅光園</t>
        </is>
      </c>
      <c r="D50" s="1465" t="n"/>
      <c r="E50" s="10" t="n"/>
      <c r="F50" s="1076" t="inlineStr">
        <is>
          <t>六本松</t>
        </is>
      </c>
      <c r="G50" s="1465" t="n"/>
      <c r="H50" s="10" t="n"/>
      <c r="I50" s="1076" t="inlineStr">
        <is>
          <t>高宮</t>
        </is>
      </c>
      <c r="J50" s="1465" t="n"/>
      <c r="K50" s="10" t="n"/>
      <c r="L50" s="1076" t="inlineStr">
        <is>
          <t>西新</t>
        </is>
      </c>
      <c r="M50" s="1465" t="n"/>
      <c r="N50" s="10" t="n"/>
      <c r="O50" s="7" t="n"/>
      <c r="P50" s="7" t="n"/>
    </row>
    <row r="51" ht="13.15" customHeight="1" s="1428">
      <c r="C51" s="45" t="inlineStr">
        <is>
          <t>3A</t>
        </is>
      </c>
      <c r="D51" s="46">
        <f>H30</f>
        <v/>
      </c>
      <c r="E51" s="1119" t="n"/>
      <c r="F51" s="45" t="inlineStr">
        <is>
          <t>6A</t>
        </is>
      </c>
      <c r="G51" s="46">
        <f>P30</f>
        <v/>
      </c>
      <c r="H51" s="1119" t="n"/>
      <c r="I51" s="45" t="inlineStr">
        <is>
          <t>3A</t>
        </is>
      </c>
      <c r="J51" s="46">
        <f>H31</f>
        <v/>
      </c>
      <c r="K51" s="1119" t="n"/>
      <c r="L51" s="45" t="inlineStr">
        <is>
          <t>3A</t>
        </is>
      </c>
      <c r="M51" s="46">
        <f>H31</f>
        <v/>
      </c>
      <c r="N51" s="1183" t="n"/>
    </row>
    <row r="52" ht="13.15" customHeight="1" s="1428">
      <c r="C52" s="45" t="inlineStr">
        <is>
          <t>3B</t>
        </is>
      </c>
      <c r="D52" s="46">
        <f>H32</f>
        <v/>
      </c>
      <c r="E52" s="1119" t="n"/>
      <c r="F52" s="8" t="inlineStr">
        <is>
          <t>6B</t>
        </is>
      </c>
      <c r="G52" s="46">
        <f>P31</f>
        <v/>
      </c>
      <c r="H52" s="1119" t="n"/>
      <c r="I52" s="45" t="inlineStr">
        <is>
          <t>3B</t>
        </is>
      </c>
      <c r="J52" s="46">
        <f>H32</f>
        <v/>
      </c>
      <c r="K52" s="1119" t="n"/>
      <c r="L52" s="45" t="inlineStr">
        <is>
          <t>3B</t>
        </is>
      </c>
      <c r="M52" s="46">
        <f>H32</f>
        <v/>
      </c>
      <c r="N52" s="1183" t="n"/>
    </row>
    <row r="53" ht="13.15" customHeight="1" s="1428">
      <c r="C53" s="45" t="inlineStr">
        <is>
          <t>3C</t>
        </is>
      </c>
      <c r="D53" s="46">
        <f>H32</f>
        <v/>
      </c>
      <c r="E53" s="1119" t="n"/>
      <c r="F53" s="45" t="inlineStr">
        <is>
          <t>6C</t>
        </is>
      </c>
      <c r="G53" s="46">
        <f>P32</f>
        <v/>
      </c>
      <c r="H53" s="1119" t="n"/>
      <c r="I53" s="45" t="n"/>
      <c r="J53" s="46" t="n"/>
      <c r="K53" s="1119" t="n"/>
      <c r="L53" s="45" t="inlineStr">
        <is>
          <t>2T</t>
        </is>
      </c>
      <c r="M53" s="46">
        <f>H33</f>
        <v/>
      </c>
      <c r="N53" s="1183" t="n"/>
    </row>
    <row r="54" ht="13.15" customHeight="1" s="1428">
      <c r="C54" s="45" t="inlineStr">
        <is>
          <t>2T</t>
        </is>
      </c>
      <c r="D54" s="46">
        <f>H33</f>
        <v/>
      </c>
      <c r="E54" s="1119" t="n"/>
      <c r="F54" s="8" t="inlineStr">
        <is>
          <t>5HA</t>
        </is>
      </c>
      <c r="G54" s="46">
        <f>P34</f>
        <v/>
      </c>
      <c r="H54" s="1119" t="n"/>
      <c r="I54" s="45" t="inlineStr">
        <is>
          <t>2Ａ</t>
        </is>
      </c>
      <c r="J54" s="46">
        <f>H34</f>
        <v/>
      </c>
      <c r="K54" s="1119" t="n"/>
      <c r="L54" s="45" t="inlineStr">
        <is>
          <t>2A</t>
        </is>
      </c>
      <c r="M54" s="46">
        <f>H34</f>
        <v/>
      </c>
      <c r="N54" s="1183" t="n"/>
    </row>
    <row r="55" ht="13.15" customHeight="1" s="1428">
      <c r="C55" s="45" t="inlineStr">
        <is>
          <t>2A</t>
        </is>
      </c>
      <c r="D55" s="46">
        <f>H34</f>
        <v/>
      </c>
      <c r="E55" s="1119" t="n"/>
      <c r="F55" s="8" t="inlineStr">
        <is>
          <t>5HB・外</t>
        </is>
      </c>
      <c r="G55" s="46">
        <f>P34</f>
        <v/>
      </c>
      <c r="H55" s="1119" t="n"/>
      <c r="I55" s="45" t="inlineStr">
        <is>
          <t>1A</t>
        </is>
      </c>
      <c r="J55" s="46">
        <f>H36</f>
        <v/>
      </c>
      <c r="K55" s="1119" t="n"/>
      <c r="L55" s="45" t="inlineStr">
        <is>
          <t>1A</t>
        </is>
      </c>
      <c r="M55" s="46">
        <f>H36</f>
        <v/>
      </c>
      <c r="N55" s="1183" t="n"/>
    </row>
    <row r="56" ht="13.15" customHeight="1" s="1428">
      <c r="C56" s="45" t="inlineStr">
        <is>
          <t>2B</t>
        </is>
      </c>
      <c r="D56" s="46">
        <f>H34</f>
        <v/>
      </c>
      <c r="E56" s="1119" t="n"/>
      <c r="F56" s="45" t="inlineStr">
        <is>
          <t>4年</t>
        </is>
      </c>
      <c r="G56" s="46">
        <f>P36</f>
        <v/>
      </c>
      <c r="H56" s="1119" t="n"/>
      <c r="I56" s="45" t="inlineStr">
        <is>
          <t>1B</t>
        </is>
      </c>
      <c r="J56" s="46">
        <f>H37</f>
        <v/>
      </c>
      <c r="K56" s="1119" t="n"/>
      <c r="L56" s="45" t="inlineStr">
        <is>
          <t>1B</t>
        </is>
      </c>
      <c r="M56" s="46">
        <f>H37</f>
        <v/>
      </c>
      <c r="N56" s="1183" t="n"/>
    </row>
    <row r="57" ht="13.15" customHeight="1" s="1428">
      <c r="C57" s="45" t="inlineStr">
        <is>
          <t>1T</t>
        </is>
      </c>
      <c r="D57" s="46">
        <f>H36</f>
        <v/>
      </c>
      <c r="E57" s="1119" t="n"/>
      <c r="F57" s="45" t="inlineStr">
        <is>
          <t>4外</t>
        </is>
      </c>
      <c r="G57" s="46">
        <f>P36</f>
        <v/>
      </c>
      <c r="H57" s="1119" t="n"/>
      <c r="I57" s="45" t="inlineStr">
        <is>
          <t>6受</t>
        </is>
      </c>
      <c r="J57" s="46">
        <f>P31</f>
        <v/>
      </c>
      <c r="K57" s="1119" t="n"/>
      <c r="L57" s="45" t="inlineStr">
        <is>
          <t>6受</t>
        </is>
      </c>
      <c r="M57" s="46">
        <f>P31</f>
        <v/>
      </c>
      <c r="N57" s="1183" t="n"/>
    </row>
    <row r="58" ht="13.15" customHeight="1" s="1428">
      <c r="C58" s="45" t="inlineStr">
        <is>
          <t>1A</t>
        </is>
      </c>
      <c r="D58" s="46">
        <f>H37</f>
        <v/>
      </c>
      <c r="E58" s="1119" t="n"/>
      <c r="F58" s="8" t="inlineStr">
        <is>
          <t>5HA算数講座</t>
        </is>
      </c>
      <c r="G58" s="46">
        <f>$M$39</f>
        <v/>
      </c>
      <c r="H58" s="1119" t="n"/>
      <c r="I58" s="45" t="inlineStr">
        <is>
          <t>6通</t>
        </is>
      </c>
      <c r="J58" s="46">
        <f>P32</f>
        <v/>
      </c>
      <c r="K58" s="1119" t="n"/>
      <c r="L58" s="45" t="inlineStr">
        <is>
          <t>6通</t>
        </is>
      </c>
      <c r="M58" s="46">
        <f>P32</f>
        <v/>
      </c>
      <c r="N58" s="1183" t="n"/>
    </row>
    <row r="59" ht="13.15" customHeight="1" s="1428">
      <c r="C59" s="231" t="n"/>
      <c r="D59" s="231" t="n"/>
      <c r="E59" s="1119" t="n"/>
      <c r="F59" s="8" t="inlineStr">
        <is>
          <t>5HA社会講座</t>
        </is>
      </c>
      <c r="G59" s="46">
        <f>$N$39</f>
        <v/>
      </c>
      <c r="H59" s="1119" t="n"/>
      <c r="I59" s="45" t="inlineStr">
        <is>
          <t>5H</t>
        </is>
      </c>
      <c r="J59" s="46">
        <f>P34</f>
        <v/>
      </c>
      <c r="K59" s="1119" t="n"/>
      <c r="L59" s="45" t="inlineStr">
        <is>
          <t>5H</t>
        </is>
      </c>
      <c r="M59" s="46">
        <f>P34</f>
        <v/>
      </c>
      <c r="N59" s="1183" t="n"/>
    </row>
    <row r="60" ht="13.15" customHeight="1" s="1428">
      <c r="C60" s="231" t="n"/>
      <c r="D60" s="231" t="n"/>
      <c r="E60" s="1119" t="n"/>
      <c r="F60" s="8" t="inlineStr">
        <is>
          <t>5HA理科講座</t>
        </is>
      </c>
      <c r="G60" s="46">
        <f>$O$39</f>
        <v/>
      </c>
      <c r="H60" s="1119" t="n"/>
      <c r="I60" s="45" t="inlineStr">
        <is>
          <t>4年</t>
        </is>
      </c>
      <c r="J60" s="46">
        <f>P36</f>
        <v/>
      </c>
      <c r="K60" s="1119" t="n"/>
      <c r="L60" s="45" t="inlineStr">
        <is>
          <t>4年</t>
        </is>
      </c>
      <c r="M60" s="46">
        <f>P36</f>
        <v/>
      </c>
      <c r="N60" s="1183" t="n"/>
    </row>
    <row r="61" ht="13.15" customHeight="1" s="1428">
      <c r="C61" s="14" t="n"/>
      <c r="D61" s="14" t="n"/>
      <c r="E61" s="1119" t="n"/>
      <c r="F61" s="45" t="inlineStr">
        <is>
          <t>4年算数講座</t>
        </is>
      </c>
      <c r="G61" s="46">
        <f>$L$39</f>
        <v/>
      </c>
      <c r="H61" s="1119" t="n"/>
      <c r="I61" s="45" t="inlineStr">
        <is>
          <t>5年算数講座</t>
        </is>
      </c>
      <c r="J61" s="46">
        <f>$M$39</f>
        <v/>
      </c>
      <c r="K61" s="1119" t="n"/>
      <c r="L61" s="45" t="inlineStr">
        <is>
          <t>5年算数講座</t>
        </is>
      </c>
      <c r="M61" s="46">
        <f>$M$39</f>
        <v/>
      </c>
      <c r="N61" s="1183" t="n"/>
    </row>
    <row r="62" ht="13.15" customHeight="1" s="1428">
      <c r="C62" s="14" t="n"/>
      <c r="D62" s="14" t="n"/>
      <c r="E62" s="1119" t="n"/>
      <c r="F62" s="14" t="n"/>
      <c r="G62" s="14" t="n"/>
      <c r="H62" s="1119" t="n"/>
      <c r="I62" s="45" t="inlineStr">
        <is>
          <t>5年社会講座</t>
        </is>
      </c>
      <c r="J62" s="46">
        <f>$N$39</f>
        <v/>
      </c>
      <c r="K62" s="1119" t="n"/>
      <c r="L62" s="45" t="inlineStr">
        <is>
          <t>5年社会講座</t>
        </is>
      </c>
      <c r="M62" s="46">
        <f>$N$39</f>
        <v/>
      </c>
      <c r="N62" s="1183" t="n"/>
    </row>
    <row r="63" ht="13.15" customHeight="1" s="1428">
      <c r="C63" s="14" t="n"/>
      <c r="D63" s="14" t="n"/>
      <c r="E63" s="1119" t="n"/>
      <c r="F63" s="231" t="n"/>
      <c r="G63" s="231" t="n"/>
      <c r="H63" s="1119" t="n"/>
      <c r="I63" s="1194" t="inlineStr">
        <is>
          <t>5年理科講座</t>
        </is>
      </c>
      <c r="J63" s="46">
        <f>$O$39</f>
        <v/>
      </c>
      <c r="K63" s="1119" t="n"/>
      <c r="L63" s="1194" t="inlineStr">
        <is>
          <t>5年理科講座</t>
        </is>
      </c>
      <c r="M63" s="46">
        <f>$O$39</f>
        <v/>
      </c>
      <c r="N63" s="1183" t="n"/>
    </row>
    <row r="64" ht="13.15" customHeight="1" s="1428">
      <c r="C64" s="231" t="n"/>
      <c r="D64" s="231" t="n"/>
      <c r="E64" s="93" t="n"/>
      <c r="F64" s="231" t="n"/>
      <c r="G64" s="231" t="n"/>
      <c r="H64" s="1119" t="n"/>
      <c r="I64" s="45" t="inlineStr">
        <is>
          <t>4年算数講座</t>
        </is>
      </c>
      <c r="J64" s="46">
        <f>$L$39</f>
        <v/>
      </c>
      <c r="K64" s="1119" t="n"/>
      <c r="L64" s="45" t="inlineStr">
        <is>
          <t>4年算数講座</t>
        </is>
      </c>
      <c r="M64" s="46">
        <f>$L$39</f>
        <v/>
      </c>
      <c r="N64" s="1183" t="n"/>
    </row>
    <row r="65" ht="13.15" customHeight="1" s="1428">
      <c r="C65" s="8" t="n"/>
      <c r="D65" s="47" t="n"/>
      <c r="E65" s="19" t="n"/>
      <c r="F65" s="14" t="n"/>
      <c r="G65" s="14" t="n"/>
      <c r="H65" s="10" t="n"/>
      <c r="I65" s="50" t="inlineStr">
        <is>
          <t> </t>
        </is>
      </c>
      <c r="J65" s="47" t="inlineStr">
        <is>
          <t> </t>
        </is>
      </c>
      <c r="K65" s="10" t="n"/>
      <c r="L65" s="50" t="n"/>
      <c r="M65" s="47" t="n"/>
      <c r="N65" s="15" t="n"/>
    </row>
    <row r="66" ht="13.15" customHeight="1" s="1428">
      <c r="C66" s="52" t="inlineStr">
        <is>
          <t>合計</t>
        </is>
      </c>
      <c r="D66" s="53">
        <f>SUM(D51:D65)</f>
        <v/>
      </c>
      <c r="E66" s="54" t="n"/>
      <c r="F66" s="53" t="inlineStr">
        <is>
          <t>合計</t>
        </is>
      </c>
      <c r="G66" s="53">
        <f>SUM(G51:G65)</f>
        <v/>
      </c>
      <c r="H66" s="55" t="n"/>
      <c r="I66" s="53" t="inlineStr">
        <is>
          <t>合計</t>
        </is>
      </c>
      <c r="J66" s="53">
        <f>SUM(J51:J65)</f>
        <v/>
      </c>
      <c r="K66" s="54" t="n"/>
      <c r="L66" s="53" t="inlineStr">
        <is>
          <t>合計</t>
        </is>
      </c>
      <c r="M66" s="53">
        <f>SUM(M51:M65)</f>
        <v/>
      </c>
      <c r="N66" s="7" t="n"/>
      <c r="O66" s="1466" t="inlineStr">
        <is>
          <t>➡合計</t>
        </is>
      </c>
      <c r="P66" s="56">
        <f>SUM(D66+G66+J66+M66)</f>
        <v/>
      </c>
      <c r="Q66" s="57" t="inlineStr">
        <is>
          <t>差</t>
        </is>
      </c>
      <c r="R66" s="138" t="n"/>
    </row>
    <row r="67" ht="13.15" customHeight="1" s="1428">
      <c r="C67" s="53" t="inlineStr">
        <is>
          <t>可能数</t>
        </is>
      </c>
      <c r="D67" s="53">
        <f>82*7</f>
        <v/>
      </c>
      <c r="E67" s="54" t="n"/>
      <c r="F67" s="53" t="inlineStr">
        <is>
          <t>可能数</t>
        </is>
      </c>
      <c r="G67" s="53">
        <f>82*4</f>
        <v/>
      </c>
      <c r="H67" s="55" t="n"/>
      <c r="I67" s="53" t="inlineStr">
        <is>
          <t>可能数</t>
        </is>
      </c>
      <c r="J67" s="53">
        <f>82*8</f>
        <v/>
      </c>
      <c r="K67" s="54" t="n"/>
      <c r="L67" s="53" t="inlineStr">
        <is>
          <t>可能数</t>
        </is>
      </c>
      <c r="M67" s="53">
        <f>82*6</f>
        <v/>
      </c>
      <c r="N67" s="7" t="n"/>
      <c r="O67" s="58" t="inlineStr">
        <is>
          <t>(昨年)</t>
        </is>
      </c>
      <c r="P67" s="56">
        <f>D69+G69+J69+M69</f>
        <v/>
      </c>
      <c r="Q67" s="59">
        <f>P66-P67</f>
        <v/>
      </c>
      <c r="R67" s="15" t="n"/>
    </row>
    <row r="68" ht="6" customHeight="1" s="1428">
      <c r="C68" s="54" t="n"/>
      <c r="D68" s="54" t="n"/>
      <c r="E68" s="54" t="n"/>
      <c r="F68" s="54" t="n"/>
      <c r="G68" s="54" t="n"/>
      <c r="H68" s="55" t="n"/>
      <c r="I68" s="54" t="n"/>
      <c r="J68" s="54" t="n"/>
      <c r="K68" s="54" t="n"/>
      <c r="L68" s="54" t="n"/>
      <c r="M68" s="54" t="n"/>
      <c r="N68" s="7" t="n"/>
      <c r="O68" s="58" t="n"/>
      <c r="P68" s="56" t="n"/>
      <c r="Q68" s="15" t="n"/>
      <c r="R68" s="15" t="n"/>
    </row>
    <row r="69" ht="13.15" customHeight="1" s="1428">
      <c r="C69" s="60" t="inlineStr">
        <is>
          <t>（昨年）</t>
        </is>
      </c>
      <c r="D69" s="54" t="n">
        <v>281</v>
      </c>
      <c r="E69" s="54" t="n"/>
      <c r="F69" s="60" t="inlineStr">
        <is>
          <t>（昨年）</t>
        </is>
      </c>
      <c r="G69" s="54" t="n">
        <v>164</v>
      </c>
      <c r="H69" s="55" t="n"/>
      <c r="I69" s="60" t="inlineStr">
        <is>
          <t>（昨年）</t>
        </is>
      </c>
      <c r="J69" s="54" t="n">
        <v>287</v>
      </c>
      <c r="K69" s="54" t="n"/>
      <c r="L69" s="60" t="inlineStr">
        <is>
          <t>（昨年）</t>
        </is>
      </c>
      <c r="M69" s="54" t="n">
        <v>291</v>
      </c>
      <c r="N69" s="7" t="n"/>
      <c r="O69" s="58" t="n"/>
      <c r="P69" s="56" t="n"/>
      <c r="Q69" s="15" t="n"/>
      <c r="R69" s="15" t="n"/>
    </row>
    <row r="70" ht="13.15" customHeight="1" s="1428">
      <c r="C70" s="61" t="inlineStr">
        <is>
          <t>差</t>
        </is>
      </c>
      <c r="D70" s="62">
        <f>D66-D69</f>
        <v/>
      </c>
      <c r="E70" s="63" t="n"/>
      <c r="F70" s="61" t="inlineStr">
        <is>
          <t>差</t>
        </is>
      </c>
      <c r="G70" s="62">
        <f>G66-G69</f>
        <v/>
      </c>
      <c r="H70" s="64" t="n"/>
      <c r="I70" s="61" t="inlineStr">
        <is>
          <t>差</t>
        </is>
      </c>
      <c r="J70" s="62">
        <f>J66-J69</f>
        <v/>
      </c>
      <c r="K70" s="63" t="n"/>
      <c r="L70" s="61" t="inlineStr">
        <is>
          <t>差</t>
        </is>
      </c>
      <c r="M70" s="62">
        <f>M66-M69</f>
        <v/>
      </c>
      <c r="N70" s="7" t="n"/>
      <c r="O70" s="7" t="n"/>
      <c r="P70" s="7" t="n"/>
    </row>
    <row r="71" ht="13.15" customHeight="1" s="1428">
      <c r="C71" s="924" t="n"/>
      <c r="D71" s="54" t="n"/>
      <c r="E71" s="54" t="n"/>
      <c r="F71" s="924" t="n"/>
      <c r="G71" s="54" t="n"/>
      <c r="H71" s="55" t="n"/>
      <c r="I71" s="924" t="n"/>
      <c r="J71" s="54" t="n"/>
      <c r="K71" s="54" t="n"/>
      <c r="L71" s="924" t="n"/>
      <c r="M71" s="54" t="n"/>
      <c r="N71" s="7" t="n"/>
      <c r="O71" s="7" t="n"/>
      <c r="P71" s="7" t="n"/>
    </row>
    <row r="72" ht="20.25" customFormat="1" customHeight="1" s="1080" thickBot="1">
      <c r="B72" s="1079" t="inlineStr">
        <is>
          <t>３．担当者（●：変更・新規、★：飛び）</t>
        </is>
      </c>
    </row>
    <row r="73" ht="20.25" customHeight="1" s="1428" thickBot="1">
      <c r="A73" s="661" t="inlineStr">
        <is>
          <t>在校生数</t>
        </is>
      </c>
      <c r="B73" s="1081" t="inlineStr">
        <is>
          <t>梅光園</t>
        </is>
      </c>
      <c r="C73" s="1467" t="n"/>
      <c r="D73" s="1467" t="n"/>
      <c r="E73" s="1467" t="n"/>
      <c r="F73" s="1467" t="n"/>
      <c r="G73" s="1467" t="n"/>
      <c r="H73" s="1468" t="n"/>
      <c r="I73" s="661" t="inlineStr">
        <is>
          <t>在校生数</t>
        </is>
      </c>
      <c r="J73" s="1081" t="inlineStr">
        <is>
          <t>六本松</t>
        </is>
      </c>
      <c r="K73" s="1467" t="n"/>
      <c r="L73" s="1467" t="n"/>
      <c r="M73" s="1467" t="n"/>
      <c r="N73" s="1467" t="n"/>
      <c r="O73" s="1467" t="n"/>
      <c r="P73" s="1468" t="n"/>
      <c r="W73" s="1119" t="n"/>
    </row>
    <row r="74" ht="20.25" customHeight="1" s="1428" thickBot="1" thickTop="1">
      <c r="B74" s="949" t="inlineStr">
        <is>
          <t>クラス</t>
        </is>
      </c>
      <c r="C74" s="950" t="inlineStr">
        <is>
          <t>担任</t>
        </is>
      </c>
      <c r="D74" s="951" t="inlineStr">
        <is>
          <t>国語</t>
        </is>
      </c>
      <c r="E74" s="952" t="inlineStr">
        <is>
          <t>数学</t>
        </is>
      </c>
      <c r="F74" s="952" t="inlineStr">
        <is>
          <t>社会</t>
        </is>
      </c>
      <c r="G74" s="952" t="inlineStr">
        <is>
          <t>理科</t>
        </is>
      </c>
      <c r="H74" s="954" t="inlineStr">
        <is>
          <t>英語</t>
        </is>
      </c>
      <c r="I74" s="10" t="n"/>
      <c r="J74" s="949" t="inlineStr">
        <is>
          <t>クラス</t>
        </is>
      </c>
      <c r="K74" s="950" t="inlineStr">
        <is>
          <t>担任</t>
        </is>
      </c>
      <c r="L74" s="951" t="inlineStr">
        <is>
          <t>国語</t>
        </is>
      </c>
      <c r="M74" s="952" t="inlineStr">
        <is>
          <t>算数</t>
        </is>
      </c>
      <c r="N74" s="952" t="inlineStr">
        <is>
          <t>社会</t>
        </is>
      </c>
      <c r="O74" s="952" t="inlineStr">
        <is>
          <t>理科</t>
        </is>
      </c>
      <c r="P74" s="953" t="inlineStr">
        <is>
          <t>算数講座</t>
        </is>
      </c>
      <c r="W74" s="10" t="n"/>
    </row>
    <row r="75" ht="20.25" customHeight="1" s="1428" thickTop="1">
      <c r="A75" s="657" t="n">
        <v>19</v>
      </c>
      <c r="B75" s="975" t="inlineStr">
        <is>
          <t>3特</t>
        </is>
      </c>
      <c r="C75" s="985" t="inlineStr">
        <is>
          <t>黒岩</t>
        </is>
      </c>
      <c r="D75" s="160" t="inlineStr">
        <is>
          <t>日高9</t>
        </is>
      </c>
      <c r="E75" s="1195" t="inlineStr">
        <is>
          <t>黒岩14</t>
        </is>
      </c>
      <c r="F75" s="1195" t="inlineStr">
        <is>
          <t>藤田9</t>
        </is>
      </c>
      <c r="G75" s="1195" t="inlineStr">
        <is>
          <t>和久9</t>
        </is>
      </c>
      <c r="H75" s="1199" t="inlineStr">
        <is>
          <t>土井下13</t>
        </is>
      </c>
      <c r="I75" s="658" t="n">
        <v>11</v>
      </c>
      <c r="J75" s="998" t="inlineStr">
        <is>
          <t>6年A</t>
        </is>
      </c>
      <c r="K75" s="999" t="inlineStr">
        <is>
          <t>日高</t>
        </is>
      </c>
      <c r="L75" s="208" t="inlineStr">
        <is>
          <t>日高11</t>
        </is>
      </c>
      <c r="M75" s="1195" t="inlineStr">
        <is>
          <t>黒岩17</t>
        </is>
      </c>
      <c r="N75" s="1195" t="inlineStr">
        <is>
          <t>藤田12</t>
        </is>
      </c>
      <c r="O75" s="1195" t="inlineStr">
        <is>
          <t>和久12</t>
        </is>
      </c>
      <c r="P75" s="209" t="n"/>
      <c r="T75" s="660" t="inlineStr">
        <is>
          <t>国</t>
        </is>
      </c>
      <c r="U75" s="4">
        <f>14+13+13+8+8+8+7+7+17+17+7+7+7+7+7+13+13+8+8+7+7+17+7+7+7+13+13+8+8+7+7+17+7+7+7</f>
        <v/>
      </c>
      <c r="W75" s="1119" t="n"/>
    </row>
    <row r="76" ht="20.25" customHeight="1" s="1428">
      <c r="A76" s="657" t="n">
        <v>35</v>
      </c>
      <c r="B76" s="975" t="inlineStr">
        <is>
          <t>公立A</t>
        </is>
      </c>
      <c r="C76" s="985" t="inlineStr">
        <is>
          <t>岡野</t>
        </is>
      </c>
      <c r="D76" s="160" t="inlineStr">
        <is>
          <t>副島8</t>
        </is>
      </c>
      <c r="E76" s="1195" t="inlineStr">
        <is>
          <t>古賀12</t>
        </is>
      </c>
      <c r="F76" s="1195" t="inlineStr">
        <is>
          <t>岡野9</t>
        </is>
      </c>
      <c r="G76" s="1195" t="inlineStr">
        <is>
          <t>平野9</t>
        </is>
      </c>
      <c r="H76" s="1199" t="inlineStr">
        <is>
          <t>倉光10</t>
        </is>
      </c>
      <c r="I76" s="658" t="n">
        <v>29</v>
      </c>
      <c r="J76" s="989" t="inlineStr">
        <is>
          <t>6年B</t>
        </is>
      </c>
      <c r="K76" s="995" t="inlineStr">
        <is>
          <t>平野</t>
        </is>
      </c>
      <c r="L76" s="113" t="inlineStr">
        <is>
          <t>日高9</t>
        </is>
      </c>
      <c r="M76" s="113" t="inlineStr">
        <is>
          <t>古賀13</t>
        </is>
      </c>
      <c r="N76" s="113" t="inlineStr">
        <is>
          <t>岡野10</t>
        </is>
      </c>
      <c r="O76" s="238" t="inlineStr">
        <is>
          <t>平野10</t>
        </is>
      </c>
      <c r="P76" s="213" t="n"/>
      <c r="T76" s="660" t="inlineStr">
        <is>
          <t>数</t>
        </is>
      </c>
      <c r="U76" s="4">
        <f>22+18+18+13+12+12+10+13+23+21+9+7+7+7+7+7+6+20+18+13+12+13+10+21+9+7+7+7+6+20+18+13+12+13+10+21+9+7+7+7+6</f>
        <v/>
      </c>
      <c r="W76" s="1119" t="n"/>
    </row>
    <row r="77" ht="20.25" customHeight="1" s="1428" thickBot="1">
      <c r="A77" s="657" t="n">
        <v>40</v>
      </c>
      <c r="B77" s="991" t="inlineStr">
        <is>
          <t>公立B</t>
        </is>
      </c>
      <c r="C77" s="996" t="inlineStr">
        <is>
          <t>倉光</t>
        </is>
      </c>
      <c r="D77" s="164" t="inlineStr">
        <is>
          <t>副島8</t>
        </is>
      </c>
      <c r="E77" s="105" t="inlineStr">
        <is>
          <t>古賀12</t>
        </is>
      </c>
      <c r="F77" s="105" t="inlineStr">
        <is>
          <t>岡野9</t>
        </is>
      </c>
      <c r="G77" s="105" t="inlineStr">
        <is>
          <t>平野9</t>
        </is>
      </c>
      <c r="H77" s="157" t="inlineStr">
        <is>
          <t>倉光10</t>
        </is>
      </c>
      <c r="I77" s="658" t="n">
        <v>31</v>
      </c>
      <c r="J77" s="991" t="inlineStr">
        <is>
          <t>6年C</t>
        </is>
      </c>
      <c r="K77" s="996" t="inlineStr">
        <is>
          <t>平野</t>
        </is>
      </c>
      <c r="L77" s="669" t="inlineStr">
        <is>
          <t>日高4</t>
        </is>
      </c>
      <c r="M77" s="105" t="inlineStr">
        <is>
          <t>古賀5</t>
        </is>
      </c>
      <c r="N77" s="165" t="inlineStr">
        <is>
          <t>★右田3</t>
        </is>
      </c>
      <c r="O77" s="105" t="inlineStr">
        <is>
          <t>平野3</t>
        </is>
      </c>
      <c r="P77" s="237" t="n"/>
      <c r="T77" s="660" t="inlineStr">
        <is>
          <t>社</t>
        </is>
      </c>
      <c r="U77" s="4">
        <f>16+13+13+10+10+10+7+7+19+16+8+7+7+3+3+6+13+13+10+10+7+7+16+8+7+3+6+13+13+10+10+7+7+16+8+7+3+6</f>
        <v/>
      </c>
      <c r="W77" s="10" t="n"/>
    </row>
    <row r="78" ht="20.25" customHeight="1" s="1428">
      <c r="A78" s="657" t="n">
        <v>24</v>
      </c>
      <c r="B78" s="982" t="inlineStr">
        <is>
          <t>2特</t>
        </is>
      </c>
      <c r="C78" s="987" t="inlineStr">
        <is>
          <t>土井下</t>
        </is>
      </c>
      <c r="D78" s="217" t="inlineStr">
        <is>
          <t>副島5</t>
        </is>
      </c>
      <c r="E78" s="158" t="inlineStr">
        <is>
          <t>黒岩7</t>
        </is>
      </c>
      <c r="F78" s="158" t="inlineStr">
        <is>
          <t>岡野5</t>
        </is>
      </c>
      <c r="G78" s="158" t="inlineStr">
        <is>
          <t>和久5</t>
        </is>
      </c>
      <c r="H78" s="166" t="inlineStr">
        <is>
          <t>土井下7</t>
        </is>
      </c>
      <c r="I78" s="658" t="n">
        <v>28</v>
      </c>
      <c r="J78" s="975" t="inlineStr">
        <is>
          <t>5HA</t>
        </is>
      </c>
      <c r="K78" s="985" t="inlineStr">
        <is>
          <t>日高</t>
        </is>
      </c>
      <c r="L78" s="160" t="inlineStr">
        <is>
          <t>日高3</t>
        </is>
      </c>
      <c r="M78" s="1195" t="inlineStr">
        <is>
          <t>古賀4</t>
        </is>
      </c>
      <c r="N78" s="159" t="inlineStr">
        <is>
          <t>●倉光3</t>
        </is>
      </c>
      <c r="O78" s="159" t="inlineStr">
        <is>
          <t>★田代3</t>
        </is>
      </c>
      <c r="P78" s="1195" t="inlineStr">
        <is>
          <t>倉光5</t>
        </is>
      </c>
      <c r="T78" s="660" t="inlineStr">
        <is>
          <t>理</t>
        </is>
      </c>
      <c r="U78" s="4">
        <f>16+13+13+11+9+9+7+7+17+16+8+7+7+3+3+6+13+13+11+9+7+7+16+8+7+3+6+13+13+11+9+7+7+16+8+7+3+6</f>
        <v/>
      </c>
      <c r="W78" s="1119" t="n"/>
    </row>
    <row r="79" ht="20.25" customHeight="1" s="1428" thickBot="1">
      <c r="A79" s="1048" t="n">
        <v>29</v>
      </c>
      <c r="B79" s="975" t="inlineStr">
        <is>
          <t>2A(S)</t>
        </is>
      </c>
      <c r="C79" s="985" t="inlineStr">
        <is>
          <t>倉光</t>
        </is>
      </c>
      <c r="D79" s="1047" t="inlineStr">
        <is>
          <t>●副島5</t>
        </is>
      </c>
      <c r="E79" s="159" t="inlineStr">
        <is>
          <t>★栗原6</t>
        </is>
      </c>
      <c r="F79" s="159" t="inlineStr">
        <is>
          <t>★山内5</t>
        </is>
      </c>
      <c r="G79" s="159" t="inlineStr">
        <is>
          <t>★平井5</t>
        </is>
      </c>
      <c r="H79" s="1199" t="inlineStr">
        <is>
          <t>倉光6</t>
        </is>
      </c>
      <c r="I79" s="658" t="n">
        <v>39</v>
      </c>
      <c r="J79" s="989" t="inlineStr">
        <is>
          <t>5HB</t>
        </is>
      </c>
      <c r="K79" s="986" t="inlineStr">
        <is>
          <t>古賀</t>
        </is>
      </c>
      <c r="L79" s="239" t="inlineStr">
        <is>
          <t>日高3</t>
        </is>
      </c>
      <c r="M79" s="101" t="inlineStr">
        <is>
          <t>古賀4</t>
        </is>
      </c>
      <c r="N79" s="1001" t="inlineStr">
        <is>
          <t>★右田3</t>
        </is>
      </c>
      <c r="O79" s="101" t="inlineStr">
        <is>
          <t>平野3</t>
        </is>
      </c>
      <c r="P79" s="211" t="n"/>
      <c r="T79" s="660" t="inlineStr">
        <is>
          <t>英</t>
        </is>
      </c>
      <c r="U79" s="4">
        <f>20+15+15+16+12+12+10+12+18+15+16+12+12+10+18+15+16+12+12+10</f>
        <v/>
      </c>
      <c r="W79" s="1119" t="n"/>
    </row>
    <row r="80" ht="20.25" customHeight="1" s="1428" thickBot="1">
      <c r="A80" s="1048" t="n">
        <v>32</v>
      </c>
      <c r="B80" s="977" t="inlineStr">
        <is>
          <t>2B(S)</t>
        </is>
      </c>
      <c r="C80" s="986" t="inlineStr">
        <is>
          <t>副島</t>
        </is>
      </c>
      <c r="D80" s="100" t="inlineStr">
        <is>
          <t>副島5</t>
        </is>
      </c>
      <c r="E80" s="101" t="inlineStr">
        <is>
          <t>倉光6</t>
        </is>
      </c>
      <c r="F80" s="1001" t="inlineStr">
        <is>
          <t>★山内5</t>
        </is>
      </c>
      <c r="G80" s="1001" t="inlineStr">
        <is>
          <t>★田代5</t>
        </is>
      </c>
      <c r="H80" s="216" t="inlineStr">
        <is>
          <t>土井下6</t>
        </is>
      </c>
      <c r="I80" s="658" t="n">
        <v>22</v>
      </c>
      <c r="J80" s="1000" t="inlineStr">
        <is>
          <t>4年</t>
        </is>
      </c>
      <c r="K80" s="999" t="inlineStr">
        <is>
          <t>古賀</t>
        </is>
      </c>
      <c r="L80" s="1022" t="inlineStr">
        <is>
          <t>日高3</t>
        </is>
      </c>
      <c r="M80" s="276" t="inlineStr">
        <is>
          <t>古賀3</t>
        </is>
      </c>
      <c r="N80" s="1023" t="n"/>
      <c r="O80" s="1023" t="n"/>
      <c r="P80" s="90" t="inlineStr">
        <is>
          <t>平野3</t>
        </is>
      </c>
      <c r="W80" s="1119" t="n"/>
    </row>
    <row r="81" ht="20.25" customHeight="1" s="1428" thickBot="1" thickTop="1">
      <c r="A81" s="657" t="n">
        <v>33</v>
      </c>
      <c r="B81" s="982" t="inlineStr">
        <is>
          <t>1特</t>
        </is>
      </c>
      <c r="C81" s="987" t="inlineStr">
        <is>
          <t>黒岩</t>
        </is>
      </c>
      <c r="D81" s="217" t="inlineStr">
        <is>
          <t>副島4</t>
        </is>
      </c>
      <c r="E81" s="158" t="inlineStr">
        <is>
          <t>黒岩6</t>
        </is>
      </c>
      <c r="F81" s="926" t="inlineStr">
        <is>
          <t>●倉光4</t>
        </is>
      </c>
      <c r="G81" s="926" t="inlineStr">
        <is>
          <t>★田代4</t>
        </is>
      </c>
      <c r="H81" s="166" t="inlineStr">
        <is>
          <t>土井下8</t>
        </is>
      </c>
      <c r="I81" s="658" t="n"/>
      <c r="J81" s="1469" t="inlineStr">
        <is>
          <t>5年特別講座</t>
        </is>
      </c>
      <c r="K81" s="1470" t="n"/>
      <c r="L81" s="1024" t="inlineStr">
        <is>
          <t>社会</t>
        </is>
      </c>
      <c r="M81" s="1025" t="inlineStr">
        <is>
          <t>●岡野5</t>
        </is>
      </c>
      <c r="N81" s="1026" t="inlineStr">
        <is>
          <t>理科</t>
        </is>
      </c>
      <c r="O81" s="1025" t="inlineStr">
        <is>
          <t>●平野4</t>
        </is>
      </c>
      <c r="P81" s="1027" t="n"/>
      <c r="W81" s="1119" t="n"/>
    </row>
    <row r="82" ht="20.25" customHeight="1" s="1428" thickBot="1">
      <c r="A82" s="657" t="n">
        <v>33</v>
      </c>
      <c r="B82" s="991" t="inlineStr">
        <is>
          <t>1A(S)</t>
        </is>
      </c>
      <c r="C82" s="996" t="inlineStr">
        <is>
          <t>副島</t>
        </is>
      </c>
      <c r="D82" s="164" t="inlineStr">
        <is>
          <t>副島4</t>
        </is>
      </c>
      <c r="E82" s="105" t="inlineStr">
        <is>
          <t>平野5</t>
        </is>
      </c>
      <c r="F82" s="105" t="inlineStr">
        <is>
          <t>岡野4</t>
        </is>
      </c>
      <c r="G82" s="165" t="inlineStr">
        <is>
          <t>★栗原4</t>
        </is>
      </c>
      <c r="H82" s="157" t="inlineStr">
        <is>
          <t>倉光5</t>
        </is>
      </c>
      <c r="I82" s="659" t="n"/>
      <c r="J82" s="1084" t="inlineStr">
        <is>
          <t>高校：</t>
        </is>
      </c>
      <c r="K82" s="1471" t="n"/>
      <c r="L82" s="10" t="inlineStr">
        <is>
          <t>日高5</t>
        </is>
      </c>
      <c r="W82" s="1119" t="n"/>
    </row>
    <row r="83" ht="20.25" customHeight="1" s="1428">
      <c r="A83" s="657" t="n"/>
      <c r="B83" s="1084" t="inlineStr">
        <is>
          <t>高校：</t>
        </is>
      </c>
      <c r="C83" s="1471" t="n"/>
      <c r="D83" s="10" t="inlineStr">
        <is>
          <t>黒岩5</t>
        </is>
      </c>
      <c r="E83" s="1119" t="n"/>
      <c r="F83" s="1119" t="n"/>
      <c r="G83" s="1119" t="n"/>
      <c r="H83" s="10" t="n"/>
      <c r="I83" s="658" t="n"/>
      <c r="J83" s="1119" t="n"/>
      <c r="K83" s="1085" t="n"/>
      <c r="M83" s="10" t="n"/>
      <c r="N83" s="10" t="n"/>
      <c r="O83" s="10" t="n"/>
      <c r="P83" s="10" t="n"/>
      <c r="W83" s="10" t="n"/>
    </row>
    <row r="84" ht="20.25" customHeight="1" s="1428" thickBot="1">
      <c r="A84" s="657" t="n"/>
      <c r="I84" s="658" t="n"/>
      <c r="J84" s="93" t="n"/>
      <c r="K84" s="93" t="n"/>
      <c r="L84" s="10" t="n"/>
      <c r="M84" s="10" t="n"/>
      <c r="N84" s="10" t="n"/>
      <c r="O84" s="10" t="n"/>
      <c r="P84" s="10" t="n"/>
      <c r="W84" s="1119" t="n"/>
    </row>
    <row r="85" ht="20.25" customHeight="1" s="1428" thickBot="1">
      <c r="A85" s="657" t="n"/>
      <c r="B85" s="1472" t="inlineStr">
        <is>
          <t>高宮</t>
        </is>
      </c>
      <c r="C85" s="1467" t="n"/>
      <c r="D85" s="1467" t="n"/>
      <c r="E85" s="1467" t="n"/>
      <c r="F85" s="1467" t="n"/>
      <c r="G85" s="1467" t="n"/>
      <c r="H85" s="1473" t="n"/>
      <c r="I85" s="658" t="n"/>
      <c r="J85" s="1472" t="inlineStr">
        <is>
          <t>西新</t>
        </is>
      </c>
      <c r="K85" s="1467" t="n"/>
      <c r="L85" s="1467" t="n"/>
      <c r="M85" s="1467" t="n"/>
      <c r="N85" s="1467" t="n"/>
      <c r="O85" s="1467" t="n"/>
      <c r="P85" s="1473" t="n"/>
      <c r="W85" s="10" t="n"/>
    </row>
    <row r="86" ht="20.25" customHeight="1" s="1428" thickBot="1" thickTop="1">
      <c r="A86" s="657" t="n"/>
      <c r="B86" s="955" t="inlineStr">
        <is>
          <t>クラス</t>
        </is>
      </c>
      <c r="C86" s="956" t="inlineStr">
        <is>
          <t>担任</t>
        </is>
      </c>
      <c r="D86" s="957" t="inlineStr">
        <is>
          <t>国語</t>
        </is>
      </c>
      <c r="E86" s="958" t="inlineStr">
        <is>
          <t>数学</t>
        </is>
      </c>
      <c r="F86" s="958" t="inlineStr">
        <is>
          <t>社会</t>
        </is>
      </c>
      <c r="G86" s="958" t="inlineStr">
        <is>
          <t>理科</t>
        </is>
      </c>
      <c r="H86" s="959" t="inlineStr">
        <is>
          <t>英語</t>
        </is>
      </c>
      <c r="I86" s="658" t="n"/>
      <c r="J86" s="955" t="inlineStr">
        <is>
          <t>クラス</t>
        </is>
      </c>
      <c r="K86" s="956" t="inlineStr">
        <is>
          <t>担任</t>
        </is>
      </c>
      <c r="L86" s="957" t="inlineStr">
        <is>
          <t>国語</t>
        </is>
      </c>
      <c r="M86" s="958" t="inlineStr">
        <is>
          <t>数学</t>
        </is>
      </c>
      <c r="N86" s="958" t="inlineStr">
        <is>
          <t>社会</t>
        </is>
      </c>
      <c r="O86" s="958" t="inlineStr">
        <is>
          <t>理科</t>
        </is>
      </c>
      <c r="P86" s="959" t="inlineStr">
        <is>
          <t>英語</t>
        </is>
      </c>
      <c r="W86" s="1119" t="n"/>
    </row>
    <row r="87" ht="20.25" customHeight="1" s="1428" thickTop="1">
      <c r="A87" s="657" t="n">
        <v>32</v>
      </c>
      <c r="B87" s="975" t="inlineStr">
        <is>
          <t>3A</t>
        </is>
      </c>
      <c r="C87" s="976" t="inlineStr">
        <is>
          <t>小野</t>
        </is>
      </c>
      <c r="D87" s="160" t="inlineStr">
        <is>
          <t>佐藤8</t>
        </is>
      </c>
      <c r="E87" s="1195" t="inlineStr">
        <is>
          <t>小野12</t>
        </is>
      </c>
      <c r="F87" s="159" t="inlineStr">
        <is>
          <t>★岡野9</t>
        </is>
      </c>
      <c r="G87" s="1195" t="inlineStr">
        <is>
          <t>神田9</t>
        </is>
      </c>
      <c r="H87" s="1199" t="inlineStr">
        <is>
          <t>中村10</t>
        </is>
      </c>
      <c r="I87" s="658" t="n">
        <v>19</v>
      </c>
      <c r="J87" s="975" t="inlineStr">
        <is>
          <t>3A</t>
        </is>
      </c>
      <c r="K87" s="985" t="inlineStr">
        <is>
          <t>髙本</t>
        </is>
      </c>
      <c r="L87" s="160" t="inlineStr">
        <is>
          <t>馬渡8</t>
        </is>
      </c>
      <c r="M87" s="1195" t="inlineStr">
        <is>
          <t>髙本12</t>
        </is>
      </c>
      <c r="N87" s="1195" t="inlineStr">
        <is>
          <t>右田9</t>
        </is>
      </c>
      <c r="O87" s="1195" t="inlineStr">
        <is>
          <t>田代9</t>
        </is>
      </c>
      <c r="P87" s="1199" t="inlineStr">
        <is>
          <t>中嶋10</t>
        </is>
      </c>
      <c r="W87" s="1119" t="n"/>
    </row>
    <row r="88" ht="20.25" customHeight="1" s="1428" thickBot="1">
      <c r="A88" s="657" t="n">
        <v>35</v>
      </c>
      <c r="B88" s="977" t="inlineStr">
        <is>
          <t>3B</t>
        </is>
      </c>
      <c r="C88" s="978" t="inlineStr">
        <is>
          <t>平井</t>
        </is>
      </c>
      <c r="D88" s="1049" t="inlineStr">
        <is>
          <t>★長本8</t>
        </is>
      </c>
      <c r="E88" s="101" t="inlineStr">
        <is>
          <t>平井12</t>
        </is>
      </c>
      <c r="F88" s="101" t="inlineStr">
        <is>
          <t>佐藤9</t>
        </is>
      </c>
      <c r="G88" s="101" t="inlineStr">
        <is>
          <t>神田9</t>
        </is>
      </c>
      <c r="H88" s="216" t="inlineStr">
        <is>
          <t>中村10</t>
        </is>
      </c>
      <c r="I88" s="658" t="n">
        <v>50</v>
      </c>
      <c r="J88" s="977" t="inlineStr">
        <is>
          <t>3B</t>
        </is>
      </c>
      <c r="K88" s="986" t="inlineStr">
        <is>
          <t>中嶋</t>
        </is>
      </c>
      <c r="L88" s="100" t="inlineStr">
        <is>
          <t>馬渡8</t>
        </is>
      </c>
      <c r="M88" s="101" t="inlineStr">
        <is>
          <t>伊地知12</t>
        </is>
      </c>
      <c r="N88" s="101" t="inlineStr">
        <is>
          <t>右田9</t>
        </is>
      </c>
      <c r="O88" s="101" t="inlineStr">
        <is>
          <t>栗原9</t>
        </is>
      </c>
      <c r="P88" s="216" t="inlineStr">
        <is>
          <t>中嶋10</t>
        </is>
      </c>
      <c r="W88" s="1119" t="n"/>
    </row>
    <row r="89" ht="20.25" customHeight="1" s="1428">
      <c r="A89" s="657" t="n">
        <v>32</v>
      </c>
      <c r="B89" s="979" t="inlineStr">
        <is>
          <t>2Ａ(S)</t>
        </is>
      </c>
      <c r="C89" s="980" t="inlineStr">
        <is>
          <t>神田</t>
        </is>
      </c>
      <c r="D89" s="217" t="inlineStr">
        <is>
          <t>佐藤5</t>
        </is>
      </c>
      <c r="E89" s="158" t="inlineStr">
        <is>
          <t>小野6</t>
        </is>
      </c>
      <c r="F89" s="158" t="inlineStr">
        <is>
          <t>山内5</t>
        </is>
      </c>
      <c r="G89" s="158" t="inlineStr">
        <is>
          <t>神田5</t>
        </is>
      </c>
      <c r="H89" s="166" t="inlineStr">
        <is>
          <t>中村6</t>
        </is>
      </c>
      <c r="I89" s="658" t="n">
        <v>23</v>
      </c>
      <c r="J89" s="982" t="inlineStr">
        <is>
          <t>2特</t>
        </is>
      </c>
      <c r="K89" s="987" t="inlineStr">
        <is>
          <t>髙本</t>
        </is>
      </c>
      <c r="L89" s="217" t="inlineStr">
        <is>
          <t>馬渡5</t>
        </is>
      </c>
      <c r="M89" s="158" t="inlineStr">
        <is>
          <t>髙本7</t>
        </is>
      </c>
      <c r="N89" s="158" t="inlineStr">
        <is>
          <t>長本5</t>
        </is>
      </c>
      <c r="O89" s="158" t="inlineStr">
        <is>
          <t>栗原5</t>
        </is>
      </c>
      <c r="P89" s="166" t="inlineStr">
        <is>
          <t>中嶋7</t>
        </is>
      </c>
      <c r="W89" s="1119" t="n"/>
    </row>
    <row r="90" ht="20.25" customHeight="1" s="1428" thickBot="1">
      <c r="A90" s="657" t="n"/>
      <c r="B90" s="981" t="n"/>
      <c r="C90" s="978" t="n"/>
      <c r="D90" s="100" t="n"/>
      <c r="E90" s="101" t="n"/>
      <c r="F90" s="101" t="n"/>
      <c r="G90" s="101" t="n"/>
      <c r="H90" s="216" t="n"/>
      <c r="I90" s="658" t="n">
        <v>38</v>
      </c>
      <c r="J90" s="977" t="inlineStr">
        <is>
          <t>2A(S)</t>
        </is>
      </c>
      <c r="K90" s="986" t="inlineStr">
        <is>
          <t>長本</t>
        </is>
      </c>
      <c r="L90" s="100" t="inlineStr">
        <is>
          <t>馬渡5</t>
        </is>
      </c>
      <c r="M90" s="101" t="inlineStr">
        <is>
          <t>伊地知6</t>
        </is>
      </c>
      <c r="N90" s="101" t="inlineStr">
        <is>
          <t>長本5</t>
        </is>
      </c>
      <c r="O90" s="101" t="inlineStr">
        <is>
          <t>栗原5</t>
        </is>
      </c>
      <c r="P90" s="1002" t="inlineStr">
        <is>
          <t>★中村6</t>
        </is>
      </c>
      <c r="W90" s="1119" t="n"/>
    </row>
    <row r="91" ht="20.25" customHeight="1" s="1428">
      <c r="A91" s="657" t="n">
        <v>22</v>
      </c>
      <c r="B91" s="982" t="inlineStr">
        <is>
          <t>1A</t>
        </is>
      </c>
      <c r="C91" s="980" t="inlineStr">
        <is>
          <t>中村</t>
        </is>
      </c>
      <c r="D91" s="1003" t="inlineStr">
        <is>
          <t>★右田4</t>
        </is>
      </c>
      <c r="E91" s="158" t="inlineStr">
        <is>
          <t>小野6</t>
        </is>
      </c>
      <c r="F91" s="158" t="inlineStr">
        <is>
          <t>山内4</t>
        </is>
      </c>
      <c r="G91" s="158" t="inlineStr">
        <is>
          <t>神田4</t>
        </is>
      </c>
      <c r="H91" s="166" t="inlineStr">
        <is>
          <t>中村8</t>
        </is>
      </c>
      <c r="I91" s="658" t="n">
        <v>29</v>
      </c>
      <c r="J91" s="982" t="inlineStr">
        <is>
          <t>1A</t>
        </is>
      </c>
      <c r="K91" s="987" t="inlineStr">
        <is>
          <t>中嶋</t>
        </is>
      </c>
      <c r="L91" s="161" t="inlineStr">
        <is>
          <t>長本4</t>
        </is>
      </c>
      <c r="M91" s="925" t="inlineStr">
        <is>
          <t>高本6</t>
        </is>
      </c>
      <c r="N91" s="926" t="inlineStr">
        <is>
          <t>★副島4</t>
        </is>
      </c>
      <c r="O91" s="158" t="inlineStr">
        <is>
          <t>栗原4</t>
        </is>
      </c>
      <c r="P91" s="166" t="inlineStr">
        <is>
          <t>中嶋8</t>
        </is>
      </c>
      <c r="W91" s="1119" t="n"/>
    </row>
    <row r="92" ht="20.25" customHeight="1" s="1428" thickBot="1">
      <c r="A92" s="657" t="n">
        <v>24</v>
      </c>
      <c r="B92" s="983" t="inlineStr">
        <is>
          <t>1B(S)</t>
        </is>
      </c>
      <c r="C92" s="984" t="inlineStr">
        <is>
          <t>中村</t>
        </is>
      </c>
      <c r="D92" s="169" t="inlineStr">
        <is>
          <t>★右田4</t>
        </is>
      </c>
      <c r="E92" s="140" t="inlineStr">
        <is>
          <t>平井5</t>
        </is>
      </c>
      <c r="F92" s="140" t="inlineStr">
        <is>
          <t>山内4</t>
        </is>
      </c>
      <c r="G92" s="140" t="inlineStr">
        <is>
          <t>神田4</t>
        </is>
      </c>
      <c r="H92" s="162" t="inlineStr">
        <is>
          <t>中村5</t>
        </is>
      </c>
      <c r="I92" s="658" t="n">
        <v>21</v>
      </c>
      <c r="J92" s="983" t="inlineStr">
        <is>
          <t>1B(S)</t>
        </is>
      </c>
      <c r="K92" s="988" t="inlineStr">
        <is>
          <t>栗原</t>
        </is>
      </c>
      <c r="L92" s="84" t="inlineStr">
        <is>
          <t>長本4</t>
        </is>
      </c>
      <c r="M92" s="140" t="inlineStr">
        <is>
          <t>伊地知5</t>
        </is>
      </c>
      <c r="N92" s="243" t="inlineStr">
        <is>
          <t>★副島4</t>
        </is>
      </c>
      <c r="O92" s="140" t="inlineStr">
        <is>
          <t>栗原4</t>
        </is>
      </c>
      <c r="P92" s="1050" t="inlineStr">
        <is>
          <t>★中村5</t>
        </is>
      </c>
      <c r="W92" s="1119" t="n"/>
    </row>
    <row r="93" ht="20.25" customHeight="1" s="1428" thickTop="1">
      <c r="A93" s="657" t="n"/>
      <c r="B93" s="961" t="inlineStr">
        <is>
          <t>クラス</t>
        </is>
      </c>
      <c r="C93" s="962" t="inlineStr">
        <is>
          <t>担任</t>
        </is>
      </c>
      <c r="D93" s="963" t="inlineStr">
        <is>
          <t>国語</t>
        </is>
      </c>
      <c r="E93" s="964" t="inlineStr">
        <is>
          <t>算数</t>
        </is>
      </c>
      <c r="F93" s="964" t="inlineStr">
        <is>
          <t>社会</t>
        </is>
      </c>
      <c r="G93" s="965" t="inlineStr">
        <is>
          <t>理科</t>
        </is>
      </c>
      <c r="H93" s="966" t="inlineStr">
        <is>
          <t>算数講座</t>
        </is>
      </c>
      <c r="I93" s="658" t="n"/>
      <c r="J93" s="967" t="inlineStr">
        <is>
          <t>クラス</t>
        </is>
      </c>
      <c r="K93" s="968" t="inlineStr">
        <is>
          <t>担任</t>
        </is>
      </c>
      <c r="L93" s="969" t="inlineStr">
        <is>
          <t>国語</t>
        </is>
      </c>
      <c r="M93" s="970" t="inlineStr">
        <is>
          <t>算数</t>
        </is>
      </c>
      <c r="N93" s="970" t="inlineStr">
        <is>
          <t>社会</t>
        </is>
      </c>
      <c r="O93" s="970" t="inlineStr">
        <is>
          <t>理科</t>
        </is>
      </c>
      <c r="P93" s="971" t="inlineStr">
        <is>
          <t>算数講座</t>
        </is>
      </c>
    </row>
    <row r="94" ht="20.25" customHeight="1" s="1428">
      <c r="A94" s="657" t="n">
        <v>15</v>
      </c>
      <c r="B94" s="989" t="inlineStr">
        <is>
          <t>6受</t>
        </is>
      </c>
      <c r="C94" s="990" t="inlineStr">
        <is>
          <t>佐藤</t>
        </is>
      </c>
      <c r="D94" s="115" t="inlineStr">
        <is>
          <t>佐藤9</t>
        </is>
      </c>
      <c r="E94" s="45" t="inlineStr">
        <is>
          <t>小野13</t>
        </is>
      </c>
      <c r="F94" s="1004" t="inlineStr">
        <is>
          <t>★中嶋10</t>
        </is>
      </c>
      <c r="G94" s="45" t="inlineStr">
        <is>
          <t>神田10</t>
        </is>
      </c>
      <c r="H94" s="92" t="n"/>
      <c r="I94" s="658" t="n">
        <v>17</v>
      </c>
      <c r="J94" s="989" t="inlineStr">
        <is>
          <t>6受</t>
        </is>
      </c>
      <c r="K94" s="995" t="inlineStr">
        <is>
          <t>馬渡</t>
        </is>
      </c>
      <c r="L94" s="115" t="inlineStr">
        <is>
          <t>馬渡9</t>
        </is>
      </c>
      <c r="M94" s="45" t="inlineStr">
        <is>
          <t>髙本13</t>
        </is>
      </c>
      <c r="N94" s="45" t="inlineStr">
        <is>
          <t>中嶋10</t>
        </is>
      </c>
      <c r="O94" s="114" t="inlineStr">
        <is>
          <t>田代10</t>
        </is>
      </c>
      <c r="P94" s="213" t="n"/>
    </row>
    <row r="95" ht="20.25" customHeight="1" s="1428" thickBot="1">
      <c r="A95" s="657" t="n">
        <v>20</v>
      </c>
      <c r="B95" s="991" t="inlineStr">
        <is>
          <t>6通</t>
        </is>
      </c>
      <c r="C95" s="992" t="inlineStr">
        <is>
          <t>神田</t>
        </is>
      </c>
      <c r="D95" s="164" t="inlineStr">
        <is>
          <t>佐藤4</t>
        </is>
      </c>
      <c r="E95" s="105" t="inlineStr">
        <is>
          <t>平井5</t>
        </is>
      </c>
      <c r="F95" s="105" t="inlineStr">
        <is>
          <t>山内3</t>
        </is>
      </c>
      <c r="G95" s="105" t="inlineStr">
        <is>
          <t>神田3</t>
        </is>
      </c>
      <c r="H95" s="86" t="n"/>
      <c r="I95" s="658" t="n">
        <v>22</v>
      </c>
      <c r="J95" s="991" t="inlineStr">
        <is>
          <t>6通</t>
        </is>
      </c>
      <c r="K95" s="996" t="inlineStr">
        <is>
          <t>馬渡</t>
        </is>
      </c>
      <c r="L95" s="164" t="inlineStr">
        <is>
          <t>馬渡4</t>
        </is>
      </c>
      <c r="M95" s="105" t="inlineStr">
        <is>
          <t>伊地知5</t>
        </is>
      </c>
      <c r="N95" s="105" t="inlineStr">
        <is>
          <t>長本3</t>
        </is>
      </c>
      <c r="O95" s="105" t="inlineStr">
        <is>
          <t>栗原3</t>
        </is>
      </c>
      <c r="P95" s="237" t="n"/>
    </row>
    <row r="96" ht="20.25" customHeight="1" s="1428" thickBot="1">
      <c r="A96" s="657" t="n">
        <v>24</v>
      </c>
      <c r="B96" s="991" t="inlineStr">
        <is>
          <t>5H</t>
        </is>
      </c>
      <c r="C96" s="992" t="inlineStr">
        <is>
          <t>佐藤</t>
        </is>
      </c>
      <c r="D96" s="164" t="inlineStr">
        <is>
          <t>佐藤3</t>
        </is>
      </c>
      <c r="E96" s="105" t="inlineStr">
        <is>
          <t>平井4</t>
        </is>
      </c>
      <c r="F96" s="105" t="inlineStr">
        <is>
          <t>山内3</t>
        </is>
      </c>
      <c r="G96" s="105" t="inlineStr">
        <is>
          <t>神田3</t>
        </is>
      </c>
      <c r="H96" s="157" t="inlineStr">
        <is>
          <t>平井5</t>
        </is>
      </c>
      <c r="I96" s="658" t="n">
        <v>33</v>
      </c>
      <c r="J96" s="991" t="inlineStr">
        <is>
          <t>5H</t>
        </is>
      </c>
      <c r="K96" s="996" t="inlineStr">
        <is>
          <t>伊地知</t>
        </is>
      </c>
      <c r="L96" s="143" t="inlineStr">
        <is>
          <t>馬渡3</t>
        </is>
      </c>
      <c r="M96" s="105" t="inlineStr">
        <is>
          <t>伊地知4</t>
        </is>
      </c>
      <c r="N96" s="105" t="inlineStr">
        <is>
          <t>長本3</t>
        </is>
      </c>
      <c r="O96" s="105" t="inlineStr">
        <is>
          <t>栗原3</t>
        </is>
      </c>
      <c r="P96" s="1051" t="inlineStr">
        <is>
          <t>●伊地知5</t>
        </is>
      </c>
    </row>
    <row r="97" ht="20.25" customHeight="1" s="1428" thickBot="1">
      <c r="A97" s="657" t="n">
        <v>13</v>
      </c>
      <c r="B97" s="993" t="inlineStr">
        <is>
          <t>4年</t>
        </is>
      </c>
      <c r="C97" s="994" t="inlineStr">
        <is>
          <t>平井</t>
        </is>
      </c>
      <c r="D97" s="142" t="inlineStr">
        <is>
          <t>佐藤3</t>
        </is>
      </c>
      <c r="E97" s="108" t="inlineStr">
        <is>
          <t>平井3</t>
        </is>
      </c>
      <c r="F97" s="1021" t="n"/>
      <c r="G97" s="1021" t="n"/>
      <c r="H97" s="215" t="inlineStr">
        <is>
          <t>平井3</t>
        </is>
      </c>
      <c r="I97" s="658" t="n">
        <v>21</v>
      </c>
      <c r="J97" s="993" t="inlineStr">
        <is>
          <t>4年</t>
        </is>
      </c>
      <c r="K97" s="997" t="inlineStr">
        <is>
          <t>伊地知</t>
        </is>
      </c>
      <c r="L97" s="142" t="inlineStr">
        <is>
          <t>長本3</t>
        </is>
      </c>
      <c r="M97" s="108" t="inlineStr">
        <is>
          <t>伊地知3</t>
        </is>
      </c>
      <c r="N97" s="1021" t="n"/>
      <c r="O97" s="1021" t="n"/>
      <c r="P97" s="215" t="inlineStr">
        <is>
          <t>伊地知3</t>
        </is>
      </c>
    </row>
    <row r="98" ht="20.25" customHeight="1" s="1428" thickBot="1" thickTop="1">
      <c r="A98" s="657" t="n"/>
      <c r="B98" s="1092" t="inlineStr">
        <is>
          <t>5年特別講座</t>
        </is>
      </c>
      <c r="C98" s="1474" t="n"/>
      <c r="D98" s="972" t="inlineStr">
        <is>
          <t>社会</t>
        </is>
      </c>
      <c r="E98" s="262" t="inlineStr">
        <is>
          <t>●佐藤5</t>
        </is>
      </c>
      <c r="F98" s="960" t="inlineStr">
        <is>
          <t>理科</t>
        </is>
      </c>
      <c r="G98" s="263" t="inlineStr">
        <is>
          <t>●神田4</t>
        </is>
      </c>
      <c r="H98" s="86" t="n"/>
      <c r="I98" s="658" t="n"/>
      <c r="J98" s="1092" t="inlineStr">
        <is>
          <t>5年特別講座</t>
        </is>
      </c>
      <c r="K98" s="1474" t="n"/>
      <c r="L98" s="973" t="inlineStr">
        <is>
          <t>社会</t>
        </is>
      </c>
      <c r="M98" s="105" t="inlineStr">
        <is>
          <t>長本5</t>
        </is>
      </c>
      <c r="N98" s="974" t="inlineStr">
        <is>
          <t>理科</t>
        </is>
      </c>
      <c r="O98" s="165" t="inlineStr">
        <is>
          <t>●田代4</t>
        </is>
      </c>
      <c r="P98" s="237" t="n"/>
    </row>
    <row r="99" ht="20.25" customHeight="1" s="1428">
      <c r="A99" s="233" t="n"/>
      <c r="B99" s="1084" t="inlineStr">
        <is>
          <t>高校：</t>
        </is>
      </c>
      <c r="C99" s="1471" t="n"/>
      <c r="D99" s="10" t="inlineStr">
        <is>
          <t>小野5</t>
        </is>
      </c>
      <c r="H99" s="4" t="n"/>
      <c r="I99" s="155" t="n"/>
      <c r="J99" s="1084" t="inlineStr">
        <is>
          <t>高校(修猷館）：</t>
        </is>
      </c>
      <c r="K99" s="1471" t="n"/>
      <c r="L99" s="10" t="inlineStr">
        <is>
          <t>高本5</t>
        </is>
      </c>
      <c r="N99" s="1084" t="inlineStr">
        <is>
          <t>高校(西南）：</t>
        </is>
      </c>
      <c r="O99" s="1471" t="n"/>
      <c r="P99" s="10" t="inlineStr">
        <is>
          <t>高本5</t>
        </is>
      </c>
    </row>
    <row r="100" ht="20.25" customHeight="1" s="1428">
      <c r="I100" s="155" t="n"/>
      <c r="J100" s="156" t="n"/>
    </row>
    <row r="101" ht="20.25" customHeight="1" s="1428">
      <c r="B101" s="1094" t="inlineStr">
        <is>
          <t>４．各教科担当者の授業回数　（50コマの場合…1日平均3.6コマ)</t>
        </is>
      </c>
    </row>
    <row r="102" ht="20.25" customFormat="1" customHeight="1" s="1080">
      <c r="B102" s="150" t="n"/>
    </row>
    <row r="103" ht="20.25" customHeight="1" s="1428">
      <c r="B103" s="1076" t="inlineStr">
        <is>
          <t>国語</t>
        </is>
      </c>
      <c r="C103" s="1475" t="n"/>
      <c r="D103" s="1465" t="n"/>
      <c r="E103" s="1089" t="inlineStr">
        <is>
          <t>算数・数学</t>
        </is>
      </c>
      <c r="F103" s="1475" t="n"/>
      <c r="G103" s="1465" t="n"/>
      <c r="H103" s="1091" t="inlineStr">
        <is>
          <t>社会</t>
        </is>
      </c>
      <c r="I103" s="1475" t="n"/>
      <c r="J103" s="1465" t="n"/>
      <c r="K103" s="1089" t="inlineStr">
        <is>
          <t>理科</t>
        </is>
      </c>
      <c r="L103" s="1475" t="n"/>
      <c r="M103" s="1465" t="n"/>
      <c r="N103" s="1091" t="inlineStr">
        <is>
          <t>英語</t>
        </is>
      </c>
      <c r="O103" s="1475" t="n"/>
      <c r="P103" s="1465" t="n"/>
    </row>
    <row r="104" ht="20.25" customHeight="1" s="1428" thickBot="1">
      <c r="B104" s="349" t="inlineStr">
        <is>
          <t>教員名</t>
        </is>
      </c>
      <c r="C104" s="349" t="inlineStr">
        <is>
          <t>計</t>
        </is>
      </c>
      <c r="D104" s="350" t="inlineStr">
        <is>
          <t>他教科</t>
        </is>
      </c>
      <c r="E104" s="351" t="inlineStr">
        <is>
          <t>教員名</t>
        </is>
      </c>
      <c r="F104" s="349" t="inlineStr">
        <is>
          <t>計</t>
        </is>
      </c>
      <c r="G104" s="352" t="inlineStr">
        <is>
          <t>他教科</t>
        </is>
      </c>
      <c r="H104" s="353" t="inlineStr">
        <is>
          <t>教員名</t>
        </is>
      </c>
      <c r="I104" s="349" t="inlineStr">
        <is>
          <t>計</t>
        </is>
      </c>
      <c r="J104" s="350" t="inlineStr">
        <is>
          <t>他教科</t>
        </is>
      </c>
      <c r="K104" s="351" t="inlineStr">
        <is>
          <t>教員名</t>
        </is>
      </c>
      <c r="L104" s="349" t="inlineStr">
        <is>
          <t>計</t>
        </is>
      </c>
      <c r="M104" s="352" t="inlineStr">
        <is>
          <t>他教科</t>
        </is>
      </c>
      <c r="N104" s="353" t="inlineStr">
        <is>
          <t>教員名</t>
        </is>
      </c>
      <c r="O104" s="349" t="inlineStr">
        <is>
          <t>計</t>
        </is>
      </c>
      <c r="P104" s="349" t="inlineStr">
        <is>
          <t>他教科</t>
        </is>
      </c>
    </row>
    <row r="105" ht="20.25" customFormat="1" customHeight="1" s="124" thickTop="1">
      <c r="B105" s="1195" t="inlineStr">
        <is>
          <t>馬渡</t>
        </is>
      </c>
      <c r="C105" s="1195" t="n">
        <v>42</v>
      </c>
      <c r="D105" s="163" t="n"/>
      <c r="E105" s="160" t="inlineStr">
        <is>
          <t>高本</t>
        </is>
      </c>
      <c r="F105" s="1195" t="n">
        <v>38</v>
      </c>
      <c r="G105" s="163" t="inlineStr">
        <is>
          <t>高10</t>
        </is>
      </c>
      <c r="H105" s="160" t="inlineStr">
        <is>
          <t>藤田</t>
        </is>
      </c>
      <c r="I105" s="1195" t="n">
        <v>21</v>
      </c>
      <c r="J105" s="275" t="n"/>
      <c r="K105" s="208" t="inlineStr">
        <is>
          <t>神田</t>
        </is>
      </c>
      <c r="L105" s="1195" t="n">
        <v>51</v>
      </c>
      <c r="M105" s="163" t="n"/>
      <c r="N105" s="160" t="inlineStr">
        <is>
          <t>中村</t>
        </is>
      </c>
      <c r="O105" s="1195" t="n">
        <v>50</v>
      </c>
      <c r="P105" s="1195" t="n"/>
      <c r="Q105" s="927" t="n"/>
    </row>
    <row r="106" ht="20.25" customFormat="1" customHeight="1" s="124">
      <c r="B106" s="45" t="inlineStr">
        <is>
          <t>日高</t>
        </is>
      </c>
      <c r="C106" s="45" t="n">
        <v>42</v>
      </c>
      <c r="D106" s="112" t="inlineStr">
        <is>
          <t>高5</t>
        </is>
      </c>
      <c r="E106" s="113" t="inlineStr">
        <is>
          <t>小野</t>
        </is>
      </c>
      <c r="F106" s="45" t="n">
        <v>37</v>
      </c>
      <c r="G106" s="112" t="inlineStr">
        <is>
          <t>高5</t>
        </is>
      </c>
      <c r="H106" s="113" t="inlineStr">
        <is>
          <t>岡野</t>
        </is>
      </c>
      <c r="I106" s="45" t="n">
        <v>51</v>
      </c>
      <c r="J106" s="114" t="n"/>
      <c r="K106" s="115" t="inlineStr">
        <is>
          <t>田代</t>
        </is>
      </c>
      <c r="L106" s="45" t="n">
        <v>35</v>
      </c>
      <c r="M106" s="928" t="n"/>
      <c r="N106" s="113" t="inlineStr">
        <is>
          <t>中嶋</t>
        </is>
      </c>
      <c r="O106" s="45" t="n">
        <v>35</v>
      </c>
      <c r="P106" s="45" t="inlineStr">
        <is>
          <t>社20</t>
        </is>
      </c>
      <c r="Q106" s="927" t="n"/>
    </row>
    <row r="107" ht="20.25" customFormat="1" customHeight="1" s="124">
      <c r="B107" s="45" t="inlineStr">
        <is>
          <t>副島</t>
        </is>
      </c>
      <c r="C107" s="45" t="n">
        <v>39</v>
      </c>
      <c r="D107" s="112" t="inlineStr">
        <is>
          <t>社8</t>
        </is>
      </c>
      <c r="E107" s="113" t="inlineStr">
        <is>
          <t>黒岩</t>
        </is>
      </c>
      <c r="F107" s="45" t="n">
        <v>44</v>
      </c>
      <c r="G107" s="112" t="inlineStr">
        <is>
          <t>高5</t>
        </is>
      </c>
      <c r="H107" s="113" t="inlineStr">
        <is>
          <t>右田</t>
        </is>
      </c>
      <c r="I107" s="45" t="n">
        <v>24</v>
      </c>
      <c r="J107" s="112" t="inlineStr">
        <is>
          <t>国8</t>
        </is>
      </c>
      <c r="K107" s="115" t="inlineStr">
        <is>
          <t>和久</t>
        </is>
      </c>
      <c r="L107" s="45" t="n">
        <v>26</v>
      </c>
      <c r="M107" s="928" t="n"/>
      <c r="N107" s="113" t="inlineStr">
        <is>
          <t>土井下</t>
        </is>
      </c>
      <c r="O107" s="45" t="n">
        <v>34</v>
      </c>
      <c r="P107" s="45" t="n"/>
      <c r="Q107" s="927" t="n"/>
    </row>
    <row r="108" ht="20.25" customFormat="1" customHeight="1" s="124">
      <c r="B108" s="45" t="inlineStr">
        <is>
          <t>佐藤</t>
        </is>
      </c>
      <c r="C108" s="45" t="n">
        <v>32</v>
      </c>
      <c r="D108" s="112" t="inlineStr">
        <is>
          <t>社14</t>
        </is>
      </c>
      <c r="E108" s="113" t="inlineStr">
        <is>
          <t>伊地知</t>
        </is>
      </c>
      <c r="F108" s="45" t="n">
        <v>43</v>
      </c>
      <c r="G108" s="112" t="n"/>
      <c r="H108" s="45" t="inlineStr">
        <is>
          <t>長本</t>
        </is>
      </c>
      <c r="I108" s="45" t="n">
        <v>21</v>
      </c>
      <c r="J108" s="114" t="inlineStr">
        <is>
          <t>国19</t>
        </is>
      </c>
      <c r="K108" s="115" t="inlineStr">
        <is>
          <t>平野</t>
        </is>
      </c>
      <c r="L108" s="45" t="n">
        <v>38</v>
      </c>
      <c r="M108" s="112" t="inlineStr">
        <is>
          <t>数8</t>
        </is>
      </c>
      <c r="N108" s="113" t="inlineStr">
        <is>
          <t>倉光</t>
        </is>
      </c>
      <c r="O108" s="45" t="n">
        <v>31</v>
      </c>
      <c r="P108" s="45" t="inlineStr">
        <is>
          <t>数11社7</t>
        </is>
      </c>
      <c r="Q108" s="927" t="n"/>
    </row>
    <row r="109" ht="20.25" customFormat="1" customHeight="1" s="124">
      <c r="B109" s="933" t="inlineStr">
        <is>
          <t>長本</t>
        </is>
      </c>
      <c r="C109" s="933" t="n">
        <v>19</v>
      </c>
      <c r="D109" s="934" t="inlineStr">
        <is>
          <t>社21</t>
        </is>
      </c>
      <c r="E109" s="113" t="inlineStr">
        <is>
          <t>平井</t>
        </is>
      </c>
      <c r="F109" s="45" t="n">
        <v>37</v>
      </c>
      <c r="G109" s="112" t="inlineStr">
        <is>
          <t>理5</t>
        </is>
      </c>
      <c r="H109" s="45" t="inlineStr">
        <is>
          <t>山内</t>
        </is>
      </c>
      <c r="I109" s="45" t="n">
        <v>29</v>
      </c>
      <c r="J109" s="114" t="n"/>
      <c r="K109" s="115" t="inlineStr">
        <is>
          <t>栗原</t>
        </is>
      </c>
      <c r="L109" s="45" t="n">
        <v>37</v>
      </c>
      <c r="M109" s="112" t="inlineStr">
        <is>
          <t>数6</t>
        </is>
      </c>
      <c r="N109" s="115" t="n"/>
      <c r="O109" s="45" t="n"/>
      <c r="P109" s="45" t="n"/>
      <c r="Q109" s="927" t="n"/>
    </row>
    <row r="110" ht="20.25" customFormat="1" customHeight="1" s="124">
      <c r="B110" s="933" t="inlineStr">
        <is>
          <t>右田</t>
        </is>
      </c>
      <c r="C110" s="933" t="n">
        <v>8</v>
      </c>
      <c r="D110" s="934" t="inlineStr">
        <is>
          <t>社24</t>
        </is>
      </c>
      <c r="E110" s="113" t="inlineStr">
        <is>
          <t>古賀</t>
        </is>
      </c>
      <c r="F110" s="45" t="n">
        <v>53</v>
      </c>
      <c r="G110" s="112" t="n"/>
      <c r="H110" s="935" t="inlineStr">
        <is>
          <t>副島</t>
        </is>
      </c>
      <c r="I110" s="933" t="n">
        <v>8</v>
      </c>
      <c r="J110" s="934" t="inlineStr">
        <is>
          <t>国34</t>
        </is>
      </c>
      <c r="K110" s="936" t="inlineStr">
        <is>
          <t>平井</t>
        </is>
      </c>
      <c r="L110" s="933" t="n">
        <v>5</v>
      </c>
      <c r="M110" s="934" t="inlineStr">
        <is>
          <t>数42</t>
        </is>
      </c>
      <c r="N110" s="113" t="n"/>
      <c r="O110" s="45" t="n"/>
      <c r="P110" s="45" t="n"/>
      <c r="Q110" s="927" t="n"/>
    </row>
    <row r="111" ht="20.25" customFormat="1" customHeight="1" s="124">
      <c r="B111" s="670" t="n"/>
      <c r="C111" s="45" t="n"/>
      <c r="D111" s="112" t="n"/>
      <c r="E111" s="935" t="inlineStr">
        <is>
          <t>平野</t>
        </is>
      </c>
      <c r="F111" s="933" t="n">
        <v>8</v>
      </c>
      <c r="G111" s="934" t="inlineStr">
        <is>
          <t>理38</t>
        </is>
      </c>
      <c r="H111" s="935" t="inlineStr">
        <is>
          <t>佐藤</t>
        </is>
      </c>
      <c r="I111" s="933" t="n">
        <v>14</v>
      </c>
      <c r="J111" s="934" t="inlineStr">
        <is>
          <t>国32</t>
        </is>
      </c>
      <c r="K111" s="115" t="n"/>
      <c r="L111" s="45" t="n"/>
      <c r="M111" s="112" t="n"/>
      <c r="N111" s="113" t="n"/>
      <c r="O111" s="45" t="n"/>
      <c r="P111" s="45" t="n"/>
      <c r="Q111" s="927" t="n"/>
    </row>
    <row r="112" ht="20.25" customFormat="1" customHeight="1" s="124">
      <c r="B112" s="45" t="n"/>
      <c r="C112" s="45" t="n"/>
      <c r="D112" s="112" t="n"/>
      <c r="E112" s="935" t="inlineStr">
        <is>
          <t>栗原</t>
        </is>
      </c>
      <c r="F112" s="933" t="n">
        <v>6</v>
      </c>
      <c r="G112" s="934" t="inlineStr">
        <is>
          <t>理37</t>
        </is>
      </c>
      <c r="H112" s="936" t="inlineStr">
        <is>
          <t>中嶋</t>
        </is>
      </c>
      <c r="I112" s="933" t="n">
        <v>20</v>
      </c>
      <c r="J112" s="934" t="inlineStr">
        <is>
          <t>英35</t>
        </is>
      </c>
      <c r="K112" s="115" t="n"/>
      <c r="L112" s="45" t="n"/>
      <c r="M112" s="112" t="n"/>
      <c r="N112" s="113" t="n"/>
      <c r="O112" s="45" t="n"/>
      <c r="P112" s="45" t="n"/>
      <c r="Q112" s="927" t="n"/>
    </row>
    <row r="113" ht="20.25" customFormat="1" customHeight="1" s="124">
      <c r="B113" s="45" t="n"/>
      <c r="C113" s="45" t="n"/>
      <c r="D113" s="112" t="n"/>
      <c r="E113" s="935" t="inlineStr">
        <is>
          <t>倉光</t>
        </is>
      </c>
      <c r="F113" s="933" t="n">
        <v>6</v>
      </c>
      <c r="G113" s="934" t="inlineStr">
        <is>
          <t>英31</t>
        </is>
      </c>
      <c r="H113" s="115" t="n"/>
      <c r="I113" s="45" t="n"/>
      <c r="J113" s="112" t="n"/>
      <c r="K113" s="115" t="n"/>
      <c r="L113" s="45" t="n"/>
      <c r="M113" s="112" t="n"/>
      <c r="N113" s="113" t="n"/>
      <c r="O113" s="45" t="n"/>
      <c r="P113" s="45" t="n"/>
      <c r="Q113" s="927" t="n"/>
    </row>
    <row r="114" ht="20.25" customFormat="1" customHeight="1" s="124" thickBot="1">
      <c r="B114" s="140" t="n"/>
      <c r="C114" s="140" t="n"/>
      <c r="D114" s="206" t="n"/>
      <c r="E114" s="84" t="n"/>
      <c r="F114" s="140" t="n"/>
      <c r="G114" s="206" t="n"/>
      <c r="H114" s="84" t="n"/>
      <c r="I114" s="140" t="n"/>
      <c r="J114" s="206" t="n"/>
      <c r="K114" s="929" t="n"/>
      <c r="L114" s="140" t="n"/>
      <c r="M114" s="206" t="n"/>
      <c r="N114" s="84" t="n"/>
      <c r="O114" s="140" t="n"/>
      <c r="P114" s="140" t="n"/>
      <c r="Q114" s="927" t="n"/>
    </row>
    <row r="115" ht="20.25" customFormat="1" customHeight="1" s="124" thickTop="1">
      <c r="B115" s="1195" t="n"/>
      <c r="C115" s="1195" t="n"/>
      <c r="D115" s="930" t="n"/>
      <c r="E115" s="160" t="n"/>
      <c r="F115" s="1195" t="n"/>
      <c r="G115" s="163" t="n"/>
      <c r="H115" s="1195" t="n"/>
      <c r="I115" s="1195" t="n"/>
      <c r="J115" s="275" t="n"/>
      <c r="K115" s="208" t="n"/>
      <c r="L115" s="1195" t="n"/>
      <c r="M115" s="163" t="n"/>
      <c r="N115" s="160" t="n"/>
      <c r="O115" s="1195" t="n"/>
      <c r="P115" s="931" t="n"/>
      <c r="Q115" s="927" t="n"/>
    </row>
  </sheetData>
  <mergeCells count="91">
    <mergeCell ref="J82:K82"/>
    <mergeCell ref="K32:K33"/>
    <mergeCell ref="P34:P35"/>
    <mergeCell ref="B41:B48"/>
    <mergeCell ref="C45:P45"/>
    <mergeCell ref="H34:H35"/>
    <mergeCell ref="C50:D50"/>
    <mergeCell ref="J73:P73"/>
    <mergeCell ref="J5:J7"/>
    <mergeCell ref="R32:R33"/>
    <mergeCell ref="B37:B38"/>
    <mergeCell ref="H5:H11"/>
    <mergeCell ref="P32:P33"/>
    <mergeCell ref="F37:F38"/>
    <mergeCell ref="H37:H38"/>
    <mergeCell ref="D34:D35"/>
    <mergeCell ref="J15:J21"/>
    <mergeCell ref="F34:F35"/>
    <mergeCell ref="J85:P85"/>
    <mergeCell ref="M34:M35"/>
    <mergeCell ref="J34:J35"/>
    <mergeCell ref="O36:O37"/>
    <mergeCell ref="O32:O33"/>
    <mergeCell ref="J99:K99"/>
    <mergeCell ref="N13:Q21"/>
    <mergeCell ref="P36:P37"/>
    <mergeCell ref="R36:R37"/>
    <mergeCell ref="B72:Q72"/>
    <mergeCell ref="C44:P44"/>
    <mergeCell ref="I15:I21"/>
    <mergeCell ref="L34:L35"/>
    <mergeCell ref="C46:P46"/>
    <mergeCell ref="D37:D38"/>
    <mergeCell ref="C15:C21"/>
    <mergeCell ref="I34:I35"/>
    <mergeCell ref="K34:K35"/>
    <mergeCell ref="H103:J103"/>
    <mergeCell ref="C34:C35"/>
    <mergeCell ref="O34:O35"/>
    <mergeCell ref="R15:R21"/>
    <mergeCell ref="I5:I7"/>
    <mergeCell ref="B28:Q28"/>
    <mergeCell ref="K83:L83"/>
    <mergeCell ref="J81:K81"/>
    <mergeCell ref="L32:L33"/>
    <mergeCell ref="P1:Q1"/>
    <mergeCell ref="R34:R35"/>
    <mergeCell ref="B101:P101"/>
    <mergeCell ref="B85:H85"/>
    <mergeCell ref="C43:Q43"/>
    <mergeCell ref="B98:C98"/>
    <mergeCell ref="G37:G38"/>
    <mergeCell ref="I37:I38"/>
    <mergeCell ref="B34:B35"/>
    <mergeCell ref="H15:H21"/>
    <mergeCell ref="F50:G50"/>
    <mergeCell ref="K103:M103"/>
    <mergeCell ref="M32:M33"/>
    <mergeCell ref="B39:H39"/>
    <mergeCell ref="L50:M50"/>
    <mergeCell ref="B99:C99"/>
    <mergeCell ref="B83:C83"/>
    <mergeCell ref="Q5:Q11"/>
    <mergeCell ref="B73:H73"/>
    <mergeCell ref="Q32:Q33"/>
    <mergeCell ref="L36:L37"/>
    <mergeCell ref="I50:J50"/>
    <mergeCell ref="N36:N37"/>
    <mergeCell ref="N32:N33"/>
    <mergeCell ref="K36:K37"/>
    <mergeCell ref="J37:J38"/>
    <mergeCell ref="B1:M1"/>
    <mergeCell ref="E34:E35"/>
    <mergeCell ref="G34:G35"/>
    <mergeCell ref="B103:D103"/>
    <mergeCell ref="D5:D11"/>
    <mergeCell ref="N103:P103"/>
    <mergeCell ref="J98:K98"/>
    <mergeCell ref="N1:O1"/>
    <mergeCell ref="M36:M37"/>
    <mergeCell ref="Q34:Q35"/>
    <mergeCell ref="N34:N35"/>
    <mergeCell ref="K38:K39"/>
    <mergeCell ref="D17:D19"/>
    <mergeCell ref="Q36:Q37"/>
    <mergeCell ref="C5:C11"/>
    <mergeCell ref="E5:E11"/>
    <mergeCell ref="N99:O99"/>
    <mergeCell ref="C37:C38"/>
    <mergeCell ref="E37:E38"/>
    <mergeCell ref="E103:G103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1" min="0" max="18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5"/>
  <sheetViews>
    <sheetView topLeftCell="A89" zoomScale="85" zoomScaleNormal="85" zoomScaleSheetLayoutView="150" workbookViewId="0">
      <selection activeCell="AD82" sqref="AD82"/>
    </sheetView>
  </sheetViews>
  <sheetFormatPr baseColWidth="8" defaultColWidth="9" defaultRowHeight="13.5"/>
  <cols>
    <col width="3.25" bestFit="1" customWidth="1" style="4" min="1" max="1"/>
    <col width="7" customWidth="1" style="4" min="2" max="11"/>
    <col width="7" customWidth="1" style="15" min="12" max="13"/>
    <col width="7" customWidth="1" style="4" min="14" max="28"/>
    <col width="9" customWidth="1" style="4" min="29" max="16384"/>
  </cols>
  <sheetData>
    <row r="1" hidden="1" ht="29.25" customFormat="1" customHeight="1" s="1">
      <c r="B1" s="1154" t="inlineStr">
        <is>
          <t>R6年度　夏期講座　時間割</t>
        </is>
      </c>
      <c r="T1" s="1154" t="n"/>
      <c r="U1" s="1155" t="inlineStr">
        <is>
          <t>更新日</t>
        </is>
      </c>
      <c r="X1" s="1156" t="n"/>
      <c r="Y1" s="1157" t="n">
        <v>45398</v>
      </c>
      <c r="AB1" s="1157" t="n"/>
    </row>
    <row r="2" hidden="1" ht="16.15" customHeight="1" s="1428">
      <c r="B2" s="2" t="inlineStr">
        <is>
          <t>１．スケジュール</t>
        </is>
      </c>
      <c r="C2" s="3" t="n"/>
      <c r="D2" s="3" t="n"/>
      <c r="H2" s="135" t="n">
        <v>3</v>
      </c>
      <c r="I2" s="135" t="n"/>
      <c r="J2" s="135" t="n">
        <v>6</v>
      </c>
      <c r="K2" s="135" t="n"/>
      <c r="L2" s="135" t="n">
        <v>6</v>
      </c>
      <c r="M2" s="135" t="n"/>
      <c r="N2" s="135" t="n">
        <v>6</v>
      </c>
      <c r="O2" s="135" t="n">
        <v>6</v>
      </c>
      <c r="P2" s="135" t="n">
        <v>6</v>
      </c>
      <c r="Q2" s="135" t="n">
        <v>6</v>
      </c>
      <c r="R2" s="135" t="n"/>
      <c r="S2" s="135" t="n">
        <v>6</v>
      </c>
      <c r="T2" s="135" t="n"/>
      <c r="U2" s="135" t="n">
        <v>6</v>
      </c>
      <c r="V2" s="135" t="n"/>
      <c r="W2" s="135" t="n">
        <v>6</v>
      </c>
      <c r="X2" s="135" t="n"/>
      <c r="Y2" s="135" t="n">
        <v>6</v>
      </c>
      <c r="Z2" s="135" t="n"/>
      <c r="AA2" s="135" t="n">
        <v>6</v>
      </c>
      <c r="AB2" s="136" t="n">
        <v>6</v>
      </c>
    </row>
    <row r="3" hidden="1" ht="13.15" customFormat="1" customHeight="1" s="7">
      <c r="B3" s="1076" t="inlineStr">
        <is>
          <t>日付</t>
        </is>
      </c>
      <c r="C3" s="1429" t="n">
        <v>45123</v>
      </c>
      <c r="D3" s="1095" t="n">
        <v>17</v>
      </c>
      <c r="E3" s="1095" t="n"/>
      <c r="F3" s="1076" t="n">
        <v>18</v>
      </c>
      <c r="G3" s="1076" t="n"/>
      <c r="H3" s="1076" t="n">
        <v>19</v>
      </c>
      <c r="I3" s="1076" t="n"/>
      <c r="J3" s="1076" t="n">
        <v>20</v>
      </c>
      <c r="K3" s="1076" t="n"/>
      <c r="L3" s="220" t="n">
        <v>21</v>
      </c>
      <c r="M3" s="220" t="n"/>
      <c r="N3" s="1076" t="n">
        <v>22</v>
      </c>
      <c r="O3" s="1076" t="n">
        <v>23</v>
      </c>
      <c r="P3" s="1076" t="n">
        <v>24</v>
      </c>
      <c r="Q3" s="1076" t="n">
        <v>25</v>
      </c>
      <c r="R3" s="1076" t="n"/>
      <c r="S3" s="1076" t="n">
        <v>26</v>
      </c>
      <c r="T3" s="1076" t="n"/>
      <c r="U3" s="1076" t="n">
        <v>27</v>
      </c>
      <c r="V3" s="1076" t="n"/>
      <c r="W3" s="220" t="n">
        <v>28</v>
      </c>
      <c r="X3" s="220" t="n"/>
      <c r="Y3" s="1076" t="n">
        <v>29</v>
      </c>
      <c r="Z3" s="1076" t="n"/>
      <c r="AA3" s="1076" t="n">
        <v>30</v>
      </c>
      <c r="AB3" s="6" t="n">
        <v>31</v>
      </c>
    </row>
    <row r="4" hidden="1" ht="13.15" customFormat="1" customHeight="1" s="7">
      <c r="B4" s="1076" t="inlineStr">
        <is>
          <t>曜日</t>
        </is>
      </c>
      <c r="C4" s="1076" t="inlineStr">
        <is>
          <t>火</t>
        </is>
      </c>
      <c r="D4" s="1076" t="inlineStr">
        <is>
          <t>水</t>
        </is>
      </c>
      <c r="E4" s="1076" t="n"/>
      <c r="F4" s="1076" t="inlineStr">
        <is>
          <t>木</t>
        </is>
      </c>
      <c r="G4" s="1076" t="n"/>
      <c r="H4" s="1076" t="inlineStr">
        <is>
          <t>金</t>
        </is>
      </c>
      <c r="I4" s="1076" t="n"/>
      <c r="J4" s="1076" t="inlineStr">
        <is>
          <t>土</t>
        </is>
      </c>
      <c r="K4" s="1076" t="n"/>
      <c r="L4" s="220" t="inlineStr">
        <is>
          <t>日</t>
        </is>
      </c>
      <c r="M4" s="220" t="n"/>
      <c r="N4" s="1076" t="inlineStr">
        <is>
          <t>月</t>
        </is>
      </c>
      <c r="O4" s="1076" t="inlineStr">
        <is>
          <t>火</t>
        </is>
      </c>
      <c r="P4" s="1076" t="inlineStr">
        <is>
          <t>水</t>
        </is>
      </c>
      <c r="Q4" s="1076" t="inlineStr">
        <is>
          <t>木</t>
        </is>
      </c>
      <c r="R4" s="1076" t="n"/>
      <c r="S4" s="1076" t="inlineStr">
        <is>
          <t>金</t>
        </is>
      </c>
      <c r="T4" s="1076" t="n"/>
      <c r="U4" s="1076" t="inlineStr">
        <is>
          <t>土</t>
        </is>
      </c>
      <c r="V4" s="1076" t="n"/>
      <c r="W4" s="220" t="inlineStr">
        <is>
          <t>日</t>
        </is>
      </c>
      <c r="X4" s="220" t="n"/>
      <c r="Y4" s="1076" t="inlineStr">
        <is>
          <t>月</t>
        </is>
      </c>
      <c r="Z4" s="1076" t="n"/>
      <c r="AA4" s="1076" t="inlineStr">
        <is>
          <t>火</t>
        </is>
      </c>
      <c r="AB4" s="1076" t="inlineStr">
        <is>
          <t>水</t>
        </is>
      </c>
    </row>
    <row r="5" hidden="1" ht="13.15" customFormat="1" customHeight="1" s="7">
      <c r="B5" s="8" t="inlineStr">
        <is>
          <t>Ⅰ</t>
        </is>
      </c>
      <c r="C5" s="8" t="n"/>
      <c r="D5" s="8" t="n"/>
      <c r="E5" s="1121" t="n"/>
      <c r="F5" s="11" t="inlineStr">
        <is>
          <t>中3集合？</t>
        </is>
      </c>
      <c r="G5" s="1230" t="n"/>
      <c r="H5" s="1200" t="inlineStr">
        <is>
          <t>1学期
終業式</t>
        </is>
      </c>
      <c r="I5" s="1200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idden="1" ht="13.15" customFormat="1" customHeight="1" s="7">
      <c r="B6" s="8" t="inlineStr">
        <is>
          <t>Ⅱ</t>
        </is>
      </c>
      <c r="C6" s="8" t="n"/>
      <c r="D6" s="8" t="n"/>
      <c r="E6" s="1125" t="n"/>
      <c r="F6" s="1442" t="n"/>
      <c r="G6" s="1231" t="n"/>
      <c r="H6" s="1442" t="n"/>
      <c r="I6" s="1211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idden="1" ht="13.15" customFormat="1" customHeight="1" s="7">
      <c r="B7" s="8" t="inlineStr">
        <is>
          <t>Ⅲ</t>
        </is>
      </c>
      <c r="C7" s="8" t="n"/>
      <c r="D7" s="8" t="n"/>
      <c r="E7" s="1125" t="n"/>
      <c r="F7" s="1442" t="n"/>
      <c r="G7" s="1231" t="n"/>
      <c r="H7" s="1442" t="n"/>
      <c r="I7" s="1211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idden="1" ht="13.15" customFormat="1" customHeight="1" s="7">
      <c r="B8" s="8" t="inlineStr">
        <is>
          <t>Ⅳ</t>
        </is>
      </c>
      <c r="C8" s="8" t="n"/>
      <c r="D8" s="8" t="n"/>
      <c r="E8" s="1125" t="n"/>
      <c r="F8" s="1442" t="n"/>
      <c r="G8" s="1231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idden="1" ht="13.15" customFormat="1" customHeight="1" s="7">
      <c r="B9" s="8" t="inlineStr">
        <is>
          <t>Ⅴ</t>
        </is>
      </c>
      <c r="C9" s="8" t="n"/>
      <c r="D9" s="8" t="n"/>
      <c r="E9" s="1125" t="n"/>
      <c r="F9" s="1442" t="n"/>
      <c r="G9" s="1231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D9" s="9" t="n"/>
    </row>
    <row r="10" hidden="1" ht="13.15" customFormat="1" customHeight="1" s="7">
      <c r="B10" s="8" t="inlineStr">
        <is>
          <t>Ⅵ</t>
        </is>
      </c>
      <c r="C10" s="8" t="n"/>
      <c r="D10" s="8" t="n"/>
      <c r="E10" s="1125" t="n"/>
      <c r="F10" s="1442" t="n"/>
      <c r="G10" s="1231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idden="1" ht="13.15" customFormat="1" customHeight="1" s="7">
      <c r="B11" s="8" t="inlineStr">
        <is>
          <t>自習</t>
        </is>
      </c>
      <c r="C11" s="8" t="n"/>
      <c r="D11" s="8" t="n"/>
      <c r="E11" s="1105" t="n"/>
      <c r="F11" s="1443" t="n"/>
      <c r="G11" s="1232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idden="1" ht="13.15" customHeight="1" s="1428">
      <c r="B12" s="134" t="n"/>
      <c r="C12" s="137" t="n">
        <v>6</v>
      </c>
      <c r="D12" s="137" t="n">
        <v>6</v>
      </c>
      <c r="E12" s="137" t="n"/>
      <c r="F12" s="137" t="n">
        <v>6</v>
      </c>
      <c r="G12" s="137" t="n"/>
      <c r="H12" s="137" t="n">
        <v>6</v>
      </c>
      <c r="I12" s="137" t="n"/>
      <c r="J12" s="137" t="n">
        <v>6</v>
      </c>
      <c r="K12" s="137" t="n"/>
      <c r="L12" s="137" t="n">
        <v>6</v>
      </c>
      <c r="M12" s="137" t="n"/>
      <c r="N12" s="225" t="n">
        <v>4</v>
      </c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  <c r="AC12" s="7" t="n"/>
      <c r="AD12" s="7" t="n"/>
    </row>
    <row r="13" hidden="1" ht="13.15" customHeight="1" s="1428">
      <c r="B13" s="1076" t="inlineStr">
        <is>
          <t>日付</t>
        </is>
      </c>
      <c r="C13" s="1429" t="n">
        <v>43313</v>
      </c>
      <c r="D13" s="1076" t="n">
        <v>2</v>
      </c>
      <c r="E13" s="1076" t="n"/>
      <c r="F13" s="1076" t="n">
        <v>3</v>
      </c>
      <c r="G13" s="1076" t="n"/>
      <c r="H13" s="220" t="n">
        <v>4</v>
      </c>
      <c r="I13" s="220" t="n"/>
      <c r="J13" s="1076" t="n">
        <v>5</v>
      </c>
      <c r="K13" s="1076" t="n"/>
      <c r="L13" s="1076" t="n">
        <v>6</v>
      </c>
      <c r="M13" s="1076" t="n"/>
      <c r="N13" s="1076" t="n">
        <v>7</v>
      </c>
      <c r="O13" s="1076" t="n">
        <v>8</v>
      </c>
      <c r="P13" s="1076" t="n">
        <v>9</v>
      </c>
      <c r="Q13" s="1091" t="n">
        <v>10</v>
      </c>
      <c r="R13" s="1091" t="n"/>
      <c r="S13" s="220" t="n">
        <v>11</v>
      </c>
      <c r="T13" s="220" t="n"/>
      <c r="U13" s="1076" t="n">
        <v>12</v>
      </c>
      <c r="V13" s="1076" t="n"/>
      <c r="W13" s="1076" t="n">
        <v>13</v>
      </c>
      <c r="X13" s="1076" t="n"/>
      <c r="Y13" s="1076" t="n">
        <v>14</v>
      </c>
      <c r="Z13" s="1076" t="n"/>
      <c r="AA13" s="1076" t="n">
        <v>15</v>
      </c>
      <c r="AB13" s="1076" t="n">
        <v>16</v>
      </c>
      <c r="AC13" s="7" t="n"/>
      <c r="AD13" s="7" t="n"/>
    </row>
    <row r="14" hidden="1" ht="13.15" customHeight="1" s="1428">
      <c r="B14" s="1076" t="inlineStr">
        <is>
          <t>曜日</t>
        </is>
      </c>
      <c r="C14" s="1076" t="inlineStr">
        <is>
          <t>木</t>
        </is>
      </c>
      <c r="D14" s="1076" t="inlineStr">
        <is>
          <t>金</t>
        </is>
      </c>
      <c r="E14" s="1076" t="n"/>
      <c r="F14" s="1076" t="inlineStr">
        <is>
          <t>土</t>
        </is>
      </c>
      <c r="G14" s="1076" t="n"/>
      <c r="H14" s="220" t="inlineStr">
        <is>
          <t>日</t>
        </is>
      </c>
      <c r="I14" s="220" t="n"/>
      <c r="J14" s="1076" t="inlineStr">
        <is>
          <t>月</t>
        </is>
      </c>
      <c r="K14" s="1076" t="n"/>
      <c r="L14" s="1076" t="inlineStr">
        <is>
          <t>火</t>
        </is>
      </c>
      <c r="M14" s="1076" t="n"/>
      <c r="N14" s="1076" t="inlineStr">
        <is>
          <t>水</t>
        </is>
      </c>
      <c r="O14" s="1076" t="inlineStr">
        <is>
          <t>木</t>
        </is>
      </c>
      <c r="P14" s="1076" t="inlineStr">
        <is>
          <t>金</t>
        </is>
      </c>
      <c r="Q14" s="1076" t="inlineStr">
        <is>
          <t>土</t>
        </is>
      </c>
      <c r="R14" s="1076" t="n"/>
      <c r="S14" s="220" t="inlineStr">
        <is>
          <t>日</t>
        </is>
      </c>
      <c r="T14" s="220" t="n"/>
      <c r="U14" s="1076" t="inlineStr">
        <is>
          <t>月</t>
        </is>
      </c>
      <c r="V14" s="1076" t="n"/>
      <c r="W14" s="1076" t="inlineStr">
        <is>
          <t>火</t>
        </is>
      </c>
      <c r="X14" s="1076" t="n"/>
      <c r="Y14" s="1076" t="inlineStr">
        <is>
          <t>水</t>
        </is>
      </c>
      <c r="Z14" s="1076" t="n"/>
      <c r="AA14" s="1076" t="inlineStr">
        <is>
          <t>木</t>
        </is>
      </c>
      <c r="AB14" s="1076" t="inlineStr">
        <is>
          <t>金</t>
        </is>
      </c>
    </row>
    <row r="15" hidden="1" ht="13.15" customHeight="1" s="1428">
      <c r="B15" s="8" t="inlineStr">
        <is>
          <t>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11" t="inlineStr">
        <is>
          <t>授業</t>
        </is>
      </c>
      <c r="O15" s="1233" t="inlineStr">
        <is>
          <t>久住合宿</t>
        </is>
      </c>
      <c r="P15" s="1479" t="n"/>
      <c r="Q15" s="1480" t="n"/>
      <c r="R15" s="1201" t="n"/>
      <c r="S15" s="1481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T15" s="1479" t="n"/>
      <c r="U15" s="1479" t="n"/>
      <c r="V15" s="1479" t="n"/>
      <c r="W15" s="1479" t="n"/>
      <c r="X15" s="1479" t="n"/>
      <c r="Y15" s="1479" t="n"/>
      <c r="Z15" s="1479" t="n"/>
      <c r="AA15" s="1480" t="n"/>
      <c r="AB15" s="1233" t="inlineStr">
        <is>
          <t>後半　打合せ</t>
        </is>
      </c>
    </row>
    <row r="16" hidden="1" ht="13.15" customHeight="1" s="1428">
      <c r="B16" s="8" t="inlineStr">
        <is>
          <t>Ⅱ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11" t="n"/>
      <c r="O16" s="1482" t="n"/>
      <c r="Q16" s="1458" t="n"/>
      <c r="R16" s="1216" t="n"/>
      <c r="S16" s="1482" t="n"/>
      <c r="AA16" s="1458" t="n"/>
      <c r="AB16" s="1442" t="n"/>
    </row>
    <row r="17" hidden="1" ht="13.15" customHeight="1" s="1428">
      <c r="B17" s="8" t="inlineStr">
        <is>
          <t>Ⅲ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105" t="n"/>
      <c r="N17" s="1232" t="inlineStr">
        <is>
          <t>※受験生</t>
        </is>
      </c>
      <c r="O17" s="1482" t="n"/>
      <c r="Q17" s="1458" t="n"/>
      <c r="R17" s="1216" t="n"/>
      <c r="S17" s="1482" t="n"/>
      <c r="AA17" s="1458" t="n"/>
      <c r="AB17" s="1442" t="n"/>
    </row>
    <row r="18" hidden="1" ht="13.15" customHeight="1" s="1428">
      <c r="B18" s="8" t="inlineStr">
        <is>
          <t>Ⅳ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121" t="n"/>
      <c r="N18" s="226" t="n"/>
      <c r="O18" s="1482" t="n"/>
      <c r="Q18" s="1458" t="n"/>
      <c r="R18" s="1216" t="n"/>
      <c r="S18" s="1482" t="n"/>
      <c r="AA18" s="1458" t="n"/>
      <c r="AB18" s="1442" t="n"/>
    </row>
    <row r="19" hidden="1" ht="13.15" customHeight="1" s="1428">
      <c r="B19" s="8" t="inlineStr">
        <is>
          <t>Ⅴ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121" t="n"/>
      <c r="N19" s="1483" t="inlineStr">
        <is>
          <t>久住説明会？</t>
        </is>
      </c>
      <c r="O19" s="1482" t="n"/>
      <c r="Q19" s="1458" t="n"/>
      <c r="R19" s="1216" t="n"/>
      <c r="S19" s="1482" t="n"/>
      <c r="AA19" s="1458" t="n"/>
      <c r="AB19" s="1442" t="n"/>
    </row>
    <row r="20" hidden="1" ht="13.15" customHeight="1" s="1428">
      <c r="B20" s="8" t="inlineStr">
        <is>
          <t>Ⅵ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1105" t="n"/>
      <c r="N20" s="1443" t="n"/>
      <c r="O20" s="1482" t="n"/>
      <c r="Q20" s="1458" t="n"/>
      <c r="R20" s="1216" t="n"/>
      <c r="S20" s="1482" t="n"/>
      <c r="AA20" s="1458" t="n"/>
      <c r="AB20" s="1442" t="n"/>
    </row>
    <row r="21" hidden="1" ht="13.15" customHeight="1" s="1428">
      <c r="B21" s="8" t="inlineStr">
        <is>
          <t>自習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12" t="n"/>
      <c r="O21" s="1451" t="n"/>
      <c r="P21" s="1484" t="n"/>
      <c r="Q21" s="1485" t="n"/>
      <c r="R21" s="1218" t="n"/>
      <c r="S21" s="1451" t="n"/>
      <c r="T21" s="1484" t="n"/>
      <c r="U21" s="1484" t="n"/>
      <c r="V21" s="1484" t="n"/>
      <c r="W21" s="1484" t="n"/>
      <c r="X21" s="1484" t="n"/>
      <c r="Y21" s="1484" t="n"/>
      <c r="Z21" s="1484" t="n"/>
      <c r="AA21" s="1485" t="n"/>
      <c r="AB21" s="1443" t="n"/>
    </row>
    <row r="22" hidden="1" ht="13.15" customHeight="1" s="1428">
      <c r="B22" s="10" t="n"/>
      <c r="C22" s="137" t="n">
        <v>6</v>
      </c>
      <c r="D22" s="137" t="n">
        <v>6</v>
      </c>
      <c r="E22" s="137" t="n"/>
      <c r="F22" s="137" t="n">
        <v>6</v>
      </c>
      <c r="G22" s="137" t="n"/>
      <c r="H22" s="137" t="n">
        <v>6</v>
      </c>
      <c r="I22" s="137" t="n"/>
      <c r="J22" s="137" t="n">
        <v>6</v>
      </c>
      <c r="K22" s="137" t="n"/>
      <c r="L22" s="137" t="n">
        <v>6</v>
      </c>
      <c r="M22" s="137" t="n"/>
      <c r="N22" s="137" t="n"/>
      <c r="O22" s="137" t="n"/>
      <c r="P22" s="137" t="n"/>
      <c r="Q22" s="137" t="n"/>
      <c r="R22" s="137" t="n"/>
      <c r="S22" s="137" t="n"/>
      <c r="T22" s="137" t="n"/>
      <c r="U22" s="137" t="n"/>
      <c r="V22" s="137" t="n"/>
      <c r="W22" s="137">
        <f>SUM(F2:AB2)</f>
        <v/>
      </c>
      <c r="X22" s="137" t="n"/>
      <c r="Y22" s="137">
        <f>SUM(C12:AB12)</f>
        <v/>
      </c>
      <c r="Z22" s="137" t="n"/>
      <c r="AA22" s="137">
        <f>SUM(C22:P22)</f>
        <v/>
      </c>
      <c r="AB22" s="137">
        <f>W22+Y22+AA22</f>
        <v/>
      </c>
    </row>
    <row r="23" hidden="1" ht="13.15" customHeight="1" s="1428">
      <c r="B23" s="1076" t="inlineStr">
        <is>
          <t>日付</t>
        </is>
      </c>
      <c r="C23" s="1076" t="n">
        <v>17</v>
      </c>
      <c r="D23" s="220" t="n">
        <v>18</v>
      </c>
      <c r="E23" s="220" t="n"/>
      <c r="F23" s="1076" t="n">
        <v>19</v>
      </c>
      <c r="G23" s="1076" t="n"/>
      <c r="H23" s="1076" t="n">
        <v>20</v>
      </c>
      <c r="I23" s="1076" t="n"/>
      <c r="J23" s="1076" t="n">
        <v>21</v>
      </c>
      <c r="K23" s="1076" t="n"/>
      <c r="L23" s="1076" t="n">
        <v>22</v>
      </c>
      <c r="M23" s="1076" t="n"/>
      <c r="N23" s="1076" t="n">
        <v>23</v>
      </c>
      <c r="O23" s="1076" t="n">
        <v>24</v>
      </c>
      <c r="P23" s="220" t="n">
        <v>25</v>
      </c>
      <c r="Q23" s="1076" t="n">
        <v>26</v>
      </c>
      <c r="R23" s="1076" t="n"/>
      <c r="S23" s="1076" t="n">
        <v>27</v>
      </c>
      <c r="T23" s="1076" t="n"/>
      <c r="U23" s="1076" t="n">
        <v>28</v>
      </c>
      <c r="V23" s="1076" t="n"/>
      <c r="W23" s="1076" t="n">
        <v>29</v>
      </c>
      <c r="X23" s="1076" t="n"/>
      <c r="Y23" s="1076" t="n">
        <v>30</v>
      </c>
      <c r="Z23" s="1076" t="n"/>
      <c r="AA23" s="1076" t="n">
        <v>31</v>
      </c>
      <c r="AB23" s="219" t="inlineStr">
        <is>
          <t>9/1</t>
        </is>
      </c>
    </row>
    <row r="24" hidden="1" ht="13.15" customHeight="1" s="1428">
      <c r="B24" s="1076" t="inlineStr">
        <is>
          <t>曜日</t>
        </is>
      </c>
      <c r="C24" s="1076" t="inlineStr">
        <is>
          <t>土</t>
        </is>
      </c>
      <c r="D24" s="220" t="inlineStr">
        <is>
          <t>日</t>
        </is>
      </c>
      <c r="E24" s="220" t="n"/>
      <c r="F24" s="1076" t="inlineStr">
        <is>
          <t>月</t>
        </is>
      </c>
      <c r="G24" s="1076" t="n"/>
      <c r="H24" s="1076" t="inlineStr">
        <is>
          <t>火</t>
        </is>
      </c>
      <c r="I24" s="1076" t="n"/>
      <c r="J24" s="1076" t="inlineStr">
        <is>
          <t>水</t>
        </is>
      </c>
      <c r="K24" s="1076" t="n"/>
      <c r="L24" s="1076" t="inlineStr">
        <is>
          <t>木</t>
        </is>
      </c>
      <c r="M24" s="1076" t="n"/>
      <c r="N24" s="1076" t="inlineStr">
        <is>
          <t>金</t>
        </is>
      </c>
      <c r="O24" s="1076" t="inlineStr">
        <is>
          <t>土</t>
        </is>
      </c>
      <c r="P24" s="220" t="inlineStr">
        <is>
          <t>日</t>
        </is>
      </c>
      <c r="Q24" s="1076" t="inlineStr">
        <is>
          <t>月</t>
        </is>
      </c>
      <c r="R24" s="1076" t="n"/>
      <c r="S24" s="1076" t="inlineStr">
        <is>
          <t>火</t>
        </is>
      </c>
      <c r="T24" s="1076" t="n"/>
      <c r="U24" s="1076" t="inlineStr">
        <is>
          <t>水</t>
        </is>
      </c>
      <c r="V24" s="1076" t="n"/>
      <c r="W24" s="1076" t="inlineStr">
        <is>
          <t>木</t>
        </is>
      </c>
      <c r="X24" s="1076" t="n"/>
      <c r="Y24" s="1076" t="inlineStr">
        <is>
          <t>金</t>
        </is>
      </c>
      <c r="Z24" s="1076" t="n"/>
      <c r="AA24" s="1076" t="inlineStr">
        <is>
          <t>土</t>
        </is>
      </c>
      <c r="AB24" s="1076" t="inlineStr">
        <is>
          <t>日</t>
        </is>
      </c>
    </row>
    <row r="25" hidden="1" ht="13.15" customHeight="1" s="1428">
      <c r="B25" s="8" t="inlineStr">
        <is>
          <t>Ⅰ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291" t="n"/>
      <c r="N25" s="1233" t="inlineStr">
        <is>
          <t>反省テスト
※春日・太宰府市の中学生は8/26に後受け</t>
        </is>
      </c>
      <c r="O25" s="1480" t="n"/>
      <c r="P25" s="1233" t="inlineStr">
        <is>
          <t>後受け
新学期準備</t>
        </is>
      </c>
      <c r="Q25" s="1480" t="n"/>
      <c r="R25" s="1215" t="n"/>
      <c r="S25" s="8" t="n"/>
      <c r="T25" s="8" t="n"/>
      <c r="U25" s="8" t="n"/>
      <c r="V25" s="8" t="n"/>
      <c r="W25" s="8" t="n"/>
      <c r="X25" s="291" t="n"/>
      <c r="Y25" s="1486" t="inlineStr">
        <is>
          <t>①学校8/27始業式
②東光中（2期制）8/?始業式
③春日・太宰府市の中学校（2期制）7/?-8/?、29-31休館??、9/1始業式??
④附属中7/?-8/?、期末テスト8/?</t>
        </is>
      </c>
      <c r="Z25" s="1479" t="n"/>
      <c r="AA25" s="1479" t="n"/>
      <c r="AB25" s="1480" t="n"/>
    </row>
    <row r="26" hidden="1" ht="13.15" customHeight="1" s="1428">
      <c r="B26" s="8" t="inlineStr">
        <is>
          <t>Ⅱ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1202" t="n"/>
      <c r="N26" s="1482" t="n"/>
      <c r="O26" s="1458" t="n"/>
      <c r="P26" s="1482" t="n"/>
      <c r="Q26" s="1458" t="n"/>
      <c r="R26" s="1217" t="n"/>
      <c r="S26" s="8" t="n"/>
      <c r="T26" s="8" t="n"/>
      <c r="U26" s="8" t="n"/>
      <c r="V26" s="8" t="n"/>
      <c r="W26" s="8" t="n"/>
      <c r="X26" s="1202" t="n"/>
      <c r="Y26" s="1482" t="n"/>
      <c r="AB26" s="1458" t="n"/>
    </row>
    <row r="27" hidden="1" ht="13.15" customHeight="1" s="1428">
      <c r="B27" s="8" t="inlineStr">
        <is>
          <t>Ⅲ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202" t="n"/>
      <c r="N27" s="1482" t="n"/>
      <c r="O27" s="1458" t="n"/>
      <c r="P27" s="1482" t="n"/>
      <c r="Q27" s="1458" t="n"/>
      <c r="R27" s="1217" t="n"/>
      <c r="S27" s="8" t="n"/>
      <c r="T27" s="8" t="n"/>
      <c r="U27" s="8" t="n"/>
      <c r="V27" s="8" t="n"/>
      <c r="W27" s="8" t="n"/>
      <c r="X27" s="1202" t="n"/>
      <c r="Y27" s="1482" t="n"/>
      <c r="AB27" s="1458" t="n"/>
    </row>
    <row r="28" hidden="1" ht="13.15" customHeight="1" s="1428">
      <c r="B28" s="8" t="inlineStr">
        <is>
          <t>Ⅳ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1202" t="n"/>
      <c r="N28" s="1482" t="n"/>
      <c r="O28" s="1458" t="n"/>
      <c r="P28" s="1482" t="n"/>
      <c r="Q28" s="1458" t="n"/>
      <c r="R28" s="1217" t="n"/>
      <c r="S28" s="8" t="n"/>
      <c r="T28" s="8" t="n"/>
      <c r="U28" s="8" t="n"/>
      <c r="V28" s="8" t="n"/>
      <c r="W28" s="8" t="n"/>
      <c r="X28" s="1202" t="n"/>
      <c r="Y28" s="1482" t="n"/>
      <c r="AB28" s="1458" t="n"/>
    </row>
    <row r="29" hidden="1" ht="13.15" customHeight="1" s="1428">
      <c r="B29" s="8" t="inlineStr">
        <is>
          <t>Ⅴ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202" t="n"/>
      <c r="N29" s="1482" t="n"/>
      <c r="O29" s="1458" t="n"/>
      <c r="P29" s="1482" t="n"/>
      <c r="Q29" s="1458" t="n"/>
      <c r="R29" s="1217" t="n"/>
      <c r="S29" s="8" t="n"/>
      <c r="T29" s="8" t="n"/>
      <c r="U29" s="8" t="n"/>
      <c r="V29" s="8" t="n"/>
      <c r="W29" s="8" t="n"/>
      <c r="X29" s="1202" t="n"/>
      <c r="Y29" s="1482" t="n"/>
      <c r="AB29" s="1458" t="n"/>
    </row>
    <row r="30" hidden="1" ht="13.15" customHeight="1" s="1428">
      <c r="B30" s="8" t="inlineStr">
        <is>
          <t>Ⅵ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1202" t="n"/>
      <c r="N30" s="1482" t="n"/>
      <c r="O30" s="1458" t="n"/>
      <c r="P30" s="1482" t="n"/>
      <c r="Q30" s="1458" t="n"/>
      <c r="R30" s="1217" t="n"/>
      <c r="S30" s="8" t="n"/>
      <c r="T30" s="8" t="n"/>
      <c r="U30" s="8" t="n"/>
      <c r="V30" s="8" t="n"/>
      <c r="W30" s="8" t="n"/>
      <c r="X30" s="1202" t="n"/>
      <c r="Y30" s="1482" t="n"/>
      <c r="AB30" s="1458" t="n"/>
    </row>
    <row r="31" hidden="1" ht="13.15" customHeight="1" s="1428">
      <c r="B31" s="8" t="inlineStr">
        <is>
          <t>自習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292" t="n"/>
      <c r="N31" s="1451" t="n"/>
      <c r="O31" s="1485" t="n"/>
      <c r="P31" s="1451" t="n"/>
      <c r="Q31" s="1485" t="n"/>
      <c r="R31" s="1219" t="n"/>
      <c r="S31" s="8" t="n"/>
      <c r="T31" s="8" t="n"/>
      <c r="U31" s="8" t="n"/>
      <c r="V31" s="8" t="n"/>
      <c r="W31" s="8" t="n"/>
      <c r="X31" s="292" t="n"/>
      <c r="Y31" s="1451" t="n"/>
      <c r="Z31" s="1484" t="n"/>
      <c r="AA31" s="1484" t="n"/>
      <c r="AB31" s="1485" t="n"/>
    </row>
    <row r="32" hidden="1" ht="13.15" customHeight="1" s="1428">
      <c r="B32" s="227" t="inlineStr">
        <is>
          <t>※今年：7/19～8/22（全26日　計151コマ）　昨年：7/21～8/23（全25日　計145コマ）　一昨年：7/21～8/24（全26日　計150コマ）</t>
        </is>
      </c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8" t="n"/>
      <c r="M32" s="228" t="n"/>
      <c r="N32" s="228" t="n"/>
      <c r="O32" s="228" t="n"/>
      <c r="P32" s="228" t="n"/>
      <c r="Q32" s="228" t="n"/>
      <c r="R32" s="228" t="n"/>
      <c r="S32" s="228" t="n"/>
      <c r="T32" s="228" t="n"/>
      <c r="U32" s="228" t="n"/>
      <c r="V32" s="228" t="n"/>
      <c r="W32" s="228" t="n"/>
      <c r="X32" s="228" t="n"/>
      <c r="Y32" s="228" t="n"/>
      <c r="Z32" s="228" t="n"/>
      <c r="AA32" s="228" t="n"/>
    </row>
    <row r="33" hidden="1" ht="13.15" customHeight="1" s="1428">
      <c r="O33" s="1229" t="n"/>
      <c r="AB33" s="1229" t="n"/>
    </row>
    <row r="34" hidden="1" ht="13.15" customFormat="1" customHeight="1" s="1164" thickBot="1">
      <c r="B34" s="1208" t="inlineStr">
        <is>
          <t>２．授業回数　※梅3A（最多）全21日で88コマ→一日平均4.2コマ</t>
        </is>
      </c>
    </row>
    <row r="35" hidden="1" ht="13.15" customHeight="1" s="1428" thickBot="1">
      <c r="B35" s="1076" t="inlineStr">
        <is>
          <t>クラス</t>
        </is>
      </c>
      <c r="C35" s="1076" t="inlineStr">
        <is>
          <t>国</t>
        </is>
      </c>
      <c r="D35" s="1076" t="inlineStr">
        <is>
          <t>数</t>
        </is>
      </c>
      <c r="E35" s="1076" t="n"/>
      <c r="F35" s="1076" t="inlineStr">
        <is>
          <t>社</t>
        </is>
      </c>
      <c r="G35" s="1076" t="n"/>
      <c r="H35" s="1076" t="inlineStr">
        <is>
          <t>理</t>
        </is>
      </c>
      <c r="I35" s="1095" t="n"/>
      <c r="J35" s="1095" t="inlineStr">
        <is>
          <t>英</t>
        </is>
      </c>
      <c r="K35" s="265" t="n"/>
      <c r="L35" s="18" t="inlineStr">
        <is>
          <t>計</t>
        </is>
      </c>
      <c r="M35" s="265" t="n"/>
      <c r="N35" s="19" t="n"/>
      <c r="O35" s="1076" t="inlineStr">
        <is>
          <t>クラス</t>
        </is>
      </c>
      <c r="P35" s="1076" t="inlineStr">
        <is>
          <t>国</t>
        </is>
      </c>
      <c r="Q35" s="1076" t="inlineStr">
        <is>
          <t>算</t>
        </is>
      </c>
      <c r="R35" s="1076" t="n"/>
      <c r="S35" s="1076" t="inlineStr">
        <is>
          <t>社</t>
        </is>
      </c>
      <c r="T35" s="1095" t="n"/>
      <c r="U35" s="1095" t="inlineStr">
        <is>
          <t>理</t>
        </is>
      </c>
      <c r="V35" s="302" t="n"/>
      <c r="W35" s="20" t="inlineStr">
        <is>
          <t>計</t>
        </is>
      </c>
      <c r="X35" s="265" t="n"/>
      <c r="Y35" s="127" t="n"/>
      <c r="Z35" s="127" t="n"/>
    </row>
    <row r="36" hidden="1" ht="13.15" customHeight="1" s="1428">
      <c r="B36" s="21" t="inlineStr">
        <is>
          <t>梅3Ａ</t>
        </is>
      </c>
      <c r="C36" s="145" t="n">
        <v>14</v>
      </c>
      <c r="D36" s="173" t="n">
        <v>22</v>
      </c>
      <c r="E36" s="173" t="n"/>
      <c r="F36" s="145" t="n">
        <v>16</v>
      </c>
      <c r="G36" s="145" t="n"/>
      <c r="H36" s="173" t="n">
        <v>16</v>
      </c>
      <c r="I36" s="174" t="n"/>
      <c r="J36" s="174" t="n">
        <v>20</v>
      </c>
      <c r="K36" s="278" t="n"/>
      <c r="L36" s="177">
        <f>SUM(C36:J36)</f>
        <v/>
      </c>
      <c r="M36" s="293" t="n"/>
      <c r="N36" s="19" t="inlineStr">
        <is>
          <t> </t>
        </is>
      </c>
      <c r="O36" s="21" t="inlineStr">
        <is>
          <t>梅６ＪＡ</t>
        </is>
      </c>
      <c r="P36" s="22" t="n">
        <v>17</v>
      </c>
      <c r="Q36" s="173" t="n">
        <v>23</v>
      </c>
      <c r="R36" s="173" t="n"/>
      <c r="S36" s="145" t="n">
        <v>19</v>
      </c>
      <c r="T36" s="148" t="n"/>
      <c r="U36" s="148" t="n">
        <v>17</v>
      </c>
      <c r="V36" s="303" t="n"/>
      <c r="W36" s="180">
        <f>SUM(P36:U36)</f>
        <v/>
      </c>
      <c r="X36" s="293" t="n"/>
      <c r="Y36" s="128" t="n"/>
      <c r="Z36" s="128" t="n"/>
    </row>
    <row r="37" hidden="1" ht="13.15" customHeight="1" s="1428">
      <c r="B37" s="23" t="inlineStr">
        <is>
          <t>高西3Ａ</t>
        </is>
      </c>
      <c r="C37" s="146" t="n">
        <v>13</v>
      </c>
      <c r="D37" s="170" t="n">
        <v>20</v>
      </c>
      <c r="E37" s="170" t="n"/>
      <c r="F37" s="170" t="n">
        <v>13</v>
      </c>
      <c r="G37" s="170" t="n"/>
      <c r="H37" s="170" t="n">
        <v>13</v>
      </c>
      <c r="I37" s="172" t="n"/>
      <c r="J37" s="172" t="n">
        <v>18</v>
      </c>
      <c r="K37" s="279" t="n"/>
      <c r="L37" s="178">
        <f>SUM(C37:J37)</f>
        <v/>
      </c>
      <c r="M37" s="293" t="n"/>
      <c r="N37" s="19" t="inlineStr">
        <is>
          <t> </t>
        </is>
      </c>
      <c r="O37" s="24" t="inlineStr">
        <is>
          <t>６Ｊ</t>
        </is>
      </c>
      <c r="P37" s="25" t="n">
        <v>17</v>
      </c>
      <c r="Q37" s="171" t="n">
        <v>21</v>
      </c>
      <c r="R37" s="171" t="n"/>
      <c r="S37" s="147" t="n">
        <v>16</v>
      </c>
      <c r="T37" s="149" t="n"/>
      <c r="U37" s="149" t="n">
        <v>16</v>
      </c>
      <c r="V37" s="304" t="n"/>
      <c r="W37" s="179">
        <f>SUM(P37:U37)</f>
        <v/>
      </c>
      <c r="X37" s="293" t="n"/>
      <c r="Y37" s="19" t="inlineStr">
        <is>
          <t> </t>
        </is>
      </c>
      <c r="Z37" s="19" t="n"/>
    </row>
    <row r="38" hidden="1" ht="13.15" customHeight="1" s="1428">
      <c r="B38" s="24" t="inlineStr">
        <is>
          <t>3Ｂ・3Ｃ</t>
        </is>
      </c>
      <c r="C38" s="147" t="n">
        <v>13</v>
      </c>
      <c r="D38" s="171" t="n">
        <v>18</v>
      </c>
      <c r="E38" s="171" t="n"/>
      <c r="F38" s="171" t="n">
        <v>13</v>
      </c>
      <c r="G38" s="171" t="n"/>
      <c r="H38" s="171" t="n">
        <v>13</v>
      </c>
      <c r="I38" s="176" t="n"/>
      <c r="J38" s="176" t="n">
        <v>15</v>
      </c>
      <c r="K38" s="280" t="n"/>
      <c r="L38" s="179">
        <f>SUM(C38:J38)</f>
        <v/>
      </c>
      <c r="M38" s="293" t="n"/>
      <c r="N38" s="181" t="inlineStr">
        <is>
          <t>←自習5コマ</t>
        </is>
      </c>
      <c r="O38" s="8" t="inlineStr">
        <is>
          <t>６通</t>
        </is>
      </c>
      <c r="P38" s="8" t="n">
        <v>7</v>
      </c>
      <c r="Q38" s="8" t="n">
        <v>9</v>
      </c>
      <c r="R38" s="1121" t="n"/>
      <c r="S38" s="668" t="n">
        <v>8</v>
      </c>
      <c r="T38" s="1166" t="n"/>
      <c r="U38" s="1449" t="n">
        <v>8</v>
      </c>
      <c r="V38" s="305" t="n"/>
      <c r="W38" s="1450">
        <f>SUM(P38:U39)</f>
        <v/>
      </c>
      <c r="X38" s="294" t="n"/>
      <c r="Y38" s="7" t="n"/>
      <c r="Z38" s="7" t="n"/>
    </row>
    <row r="39" hidden="1" ht="13.15" customHeight="1" s="1428">
      <c r="B39" s="21" t="inlineStr">
        <is>
          <t>2Ｔ</t>
        </is>
      </c>
      <c r="C39" s="22" t="n">
        <v>8</v>
      </c>
      <c r="D39" s="129" t="n">
        <v>13</v>
      </c>
      <c r="E39" s="129" t="n"/>
      <c r="F39" s="22" t="n">
        <v>10</v>
      </c>
      <c r="G39" s="22" t="n"/>
      <c r="H39" s="129" t="n">
        <v>11</v>
      </c>
      <c r="I39" s="229" t="n"/>
      <c r="J39" s="229" t="n">
        <v>16</v>
      </c>
      <c r="K39" s="281" t="n"/>
      <c r="L39" s="130">
        <f>SUM(C39:J39)</f>
        <v/>
      </c>
      <c r="M39" s="294" t="n"/>
      <c r="N39" s="19" t="inlineStr">
        <is>
          <t> </t>
        </is>
      </c>
      <c r="O39" s="1443" t="n"/>
      <c r="P39" s="1443" t="n"/>
      <c r="Q39" s="1443" t="n"/>
      <c r="R39" s="1105" t="n"/>
      <c r="S39" s="1443" t="n"/>
      <c r="T39" s="1167" t="n"/>
      <c r="U39" s="1451" t="n"/>
      <c r="V39" s="306" t="n"/>
      <c r="W39" s="1452" t="n"/>
      <c r="X39" s="294" t="n"/>
      <c r="Y39" s="7" t="n"/>
      <c r="Z39" s="7" t="n"/>
    </row>
    <row r="40" hidden="1" ht="13.15" customHeight="1" s="1428">
      <c r="B40" s="23" t="inlineStr">
        <is>
          <t>2Ａ</t>
        </is>
      </c>
      <c r="C40" s="25" t="n">
        <v>8</v>
      </c>
      <c r="D40" s="171" t="n">
        <v>12</v>
      </c>
      <c r="E40" s="1196" t="n"/>
      <c r="F40" s="25" t="n">
        <v>10</v>
      </c>
      <c r="G40" s="1194" t="n"/>
      <c r="H40" s="171" t="n">
        <v>9</v>
      </c>
      <c r="I40" s="271" t="n"/>
      <c r="J40" s="1487" t="n">
        <v>12</v>
      </c>
      <c r="K40" s="282" t="n"/>
      <c r="L40" s="179">
        <f>SUM(C40:J41)</f>
        <v/>
      </c>
      <c r="M40" s="293" t="n"/>
      <c r="N40" s="19" t="n"/>
      <c r="O40" s="21" t="inlineStr">
        <is>
          <t>５Ｈ</t>
        </is>
      </c>
      <c r="P40" s="1488" t="n">
        <v>7</v>
      </c>
      <c r="Q40" s="1488" t="n">
        <v>7</v>
      </c>
      <c r="R40" s="1200" t="n"/>
      <c r="S40" s="1488" t="n">
        <v>7</v>
      </c>
      <c r="T40" s="1201" t="n"/>
      <c r="U40" s="1489" t="n">
        <v>7</v>
      </c>
      <c r="V40" s="221" t="n"/>
      <c r="W40" s="1490">
        <f>SUM(P40:U40)</f>
        <v/>
      </c>
      <c r="X40" s="10" t="n"/>
      <c r="Y40" s="7" t="n"/>
      <c r="Z40" s="7" t="n"/>
    </row>
    <row r="41" hidden="1" ht="13.15" customHeight="1" s="1428">
      <c r="B41" s="1105" t="inlineStr">
        <is>
          <t>2Ｂ</t>
        </is>
      </c>
      <c r="C41" s="1443" t="n"/>
      <c r="D41" s="1443" t="n"/>
      <c r="E41" s="1197" t="n"/>
      <c r="F41" s="1443" t="n"/>
      <c r="G41" s="1195" t="n"/>
      <c r="H41" s="1443" t="n"/>
      <c r="I41" s="272" t="n"/>
      <c r="J41" s="1456" t="n"/>
      <c r="K41" s="283" t="n"/>
      <c r="L41" s="1452" t="n"/>
      <c r="M41" s="293" t="n"/>
      <c r="N41" s="19" t="n"/>
      <c r="O41" s="1459" t="n"/>
      <c r="P41" s="1459" t="n"/>
      <c r="Q41" s="1459" t="n"/>
      <c r="R41" s="1122" t="n"/>
      <c r="S41" s="1459" t="n"/>
      <c r="T41" s="1205" t="n"/>
      <c r="U41" s="1491" t="n"/>
      <c r="V41" s="307" t="n"/>
      <c r="W41" s="1492" t="n"/>
      <c r="X41" s="10" t="n"/>
      <c r="Y41" s="7" t="n"/>
      <c r="Z41" s="7" t="n"/>
    </row>
    <row r="42" hidden="1" ht="13.15" customHeight="1" s="1428">
      <c r="B42" s="21" t="inlineStr">
        <is>
          <t>1A</t>
        </is>
      </c>
      <c r="C42" s="22" t="n">
        <v>7</v>
      </c>
      <c r="D42" s="129" t="n">
        <v>13</v>
      </c>
      <c r="E42" s="129" t="n"/>
      <c r="F42" s="22" t="n">
        <v>7</v>
      </c>
      <c r="G42" s="22" t="n"/>
      <c r="H42" s="22" t="n">
        <v>7</v>
      </c>
      <c r="I42" s="273" t="n"/>
      <c r="J42" s="26" t="n">
        <v>12</v>
      </c>
      <c r="K42" s="284" t="n"/>
      <c r="L42" s="130">
        <f>SUM(C42:J42)</f>
        <v/>
      </c>
      <c r="M42" s="294" t="n"/>
      <c r="N42" s="19" t="n"/>
      <c r="O42" s="1121" t="inlineStr">
        <is>
          <t>４年</t>
        </is>
      </c>
      <c r="P42" s="1200" t="n">
        <v>7</v>
      </c>
      <c r="Q42" s="1200" t="n">
        <v>7</v>
      </c>
      <c r="R42" s="1200" t="n"/>
      <c r="S42" s="1200" t="n">
        <v>3</v>
      </c>
      <c r="T42" s="1201" t="n"/>
      <c r="U42" s="1201" t="n">
        <v>3</v>
      </c>
      <c r="V42" s="221" t="n"/>
      <c r="W42" s="1493">
        <f>SUM(P42:U42)</f>
        <v/>
      </c>
      <c r="X42" s="10" t="n"/>
      <c r="Y42" s="7" t="n"/>
      <c r="Z42" s="7" t="n"/>
    </row>
    <row r="43" hidden="1" ht="13.15" customHeight="1" s="1428" thickBot="1">
      <c r="B43" s="24" t="inlineStr">
        <is>
          <t>1B</t>
        </is>
      </c>
      <c r="C43" s="25" t="n">
        <v>7</v>
      </c>
      <c r="D43" s="171" t="n">
        <v>10</v>
      </c>
      <c r="E43" s="1196" t="n"/>
      <c r="F43" s="25" t="n">
        <v>7</v>
      </c>
      <c r="G43" s="1194" t="n"/>
      <c r="H43" s="25" t="n">
        <v>7</v>
      </c>
      <c r="I43" s="274" t="n"/>
      <c r="J43" s="1494" t="n">
        <v>10</v>
      </c>
      <c r="K43" s="285" t="n"/>
      <c r="L43" s="1495">
        <f>SUM(C43:J44)</f>
        <v/>
      </c>
      <c r="M43" s="293" t="n"/>
      <c r="N43" s="19" t="n"/>
      <c r="O43" s="1442" t="n"/>
      <c r="P43" s="1442" t="n"/>
      <c r="Q43" s="1442" t="n"/>
      <c r="R43" s="1125" t="n"/>
      <c r="S43" s="1442" t="n"/>
      <c r="T43" s="1202" t="n"/>
      <c r="U43" s="1482" t="n"/>
      <c r="V43" s="10" t="n"/>
      <c r="W43" s="1462" t="n"/>
      <c r="X43" s="10" t="n"/>
      <c r="Y43" s="7" t="n"/>
      <c r="Z43" s="7" t="n"/>
    </row>
    <row r="44" hidden="1" ht="13.15" customHeight="1" s="1428" thickBot="1">
      <c r="B44" s="1443" t="n"/>
      <c r="C44" s="1443" t="n"/>
      <c r="D44" s="1443" t="n"/>
      <c r="E44" s="1197" t="n"/>
      <c r="F44" s="1443" t="n"/>
      <c r="G44" s="1195" t="n"/>
      <c r="H44" s="1443" t="n"/>
      <c r="I44" s="275" t="n"/>
      <c r="J44" s="1456" t="n"/>
      <c r="K44" s="286" t="n"/>
      <c r="L44" s="1462" t="n"/>
      <c r="M44" s="293" t="n"/>
      <c r="N44" s="19" t="n"/>
      <c r="O44" s="1101" t="inlineStr">
        <is>
          <t>特別
講座</t>
        </is>
      </c>
      <c r="P44" s="1076" t="inlineStr">
        <is>
          <t>4年算数</t>
        </is>
      </c>
      <c r="Q44" s="1076" t="inlineStr">
        <is>
          <t>5H算数</t>
        </is>
      </c>
      <c r="R44" s="1076" t="n"/>
      <c r="S44" s="1076" t="inlineStr">
        <is>
          <t>5H社会</t>
        </is>
      </c>
      <c r="T44" s="1076" t="n"/>
      <c r="U44" s="1076" t="inlineStr">
        <is>
          <t>5H理科</t>
        </is>
      </c>
      <c r="V44" s="308" t="n"/>
      <c r="W44" s="28" t="n"/>
      <c r="X44" s="309" t="n"/>
      <c r="Y44" s="7" t="n"/>
      <c r="Z44" s="7" t="n"/>
    </row>
    <row r="45" hidden="1" ht="13.15" customHeight="1" s="1428">
      <c r="B45" s="30" t="n"/>
      <c r="C45" s="30" t="n"/>
      <c r="D45" s="30" t="n"/>
      <c r="E45" s="30" t="n"/>
      <c r="F45" s="30" t="n"/>
      <c r="G45" s="30" t="n"/>
      <c r="H45" s="19" t="n"/>
      <c r="I45" s="19" t="n"/>
      <c r="J45" s="19" t="n"/>
      <c r="K45" s="19" t="n"/>
      <c r="L45" s="19" t="n"/>
      <c r="M45" s="19" t="n"/>
      <c r="N45" s="19" t="n"/>
      <c r="O45" s="1443" t="n"/>
      <c r="P45" s="175" t="n">
        <v>6</v>
      </c>
      <c r="Q45" s="175" t="n">
        <v>7</v>
      </c>
      <c r="R45" s="175" t="n"/>
      <c r="S45" s="8" t="n">
        <v>6</v>
      </c>
      <c r="T45" s="8" t="n"/>
      <c r="U45" s="8" t="n">
        <v>6</v>
      </c>
      <c r="V45" s="1121" t="n"/>
      <c r="W45" s="29" t="n"/>
      <c r="X45" s="309" t="n"/>
    </row>
    <row r="46" hidden="1" ht="13.15" customHeight="1" s="1428">
      <c r="B46" s="30" t="n"/>
      <c r="C46" s="30" t="n"/>
      <c r="D46" s="30" t="n"/>
      <c r="E46" s="30" t="n"/>
      <c r="F46" s="30" t="n"/>
      <c r="G46" s="30" t="n"/>
      <c r="H46" s="19" t="n"/>
      <c r="I46" s="19" t="n"/>
      <c r="J46" s="31" t="n"/>
      <c r="K46" s="31" t="n"/>
      <c r="L46" s="31" t="n"/>
      <c r="M46" s="19" t="n"/>
      <c r="N46" s="19" t="n"/>
      <c r="W46" s="32" t="n"/>
      <c r="AA46" s="3" t="n"/>
    </row>
    <row r="47" hidden="1" ht="13.15" customFormat="1" customHeight="1" s="34">
      <c r="B47" s="1463" t="inlineStr">
        <is>
          <t>注意点</t>
        </is>
      </c>
      <c r="C47" s="1189" t="inlineStr">
        <is>
          <t>⑴　8/8(木)～10(土)　久住合宿</t>
        </is>
      </c>
      <c r="D47" s="1479" t="n"/>
      <c r="E47" s="1479" t="n"/>
      <c r="F47" s="1479" t="n"/>
      <c r="G47" s="1479" t="n"/>
      <c r="H47" s="1479" t="n"/>
      <c r="I47" s="1479" t="n"/>
      <c r="J47" s="1479" t="n"/>
      <c r="K47" s="1479" t="n"/>
      <c r="L47" s="1479" t="n"/>
      <c r="M47" s="1479" t="n"/>
      <c r="N47" s="1479" t="n"/>
      <c r="O47" s="1479" t="n"/>
      <c r="P47" s="1479" t="n"/>
      <c r="Q47" s="1479" t="n"/>
      <c r="R47" s="1479" t="n"/>
      <c r="S47" s="1479" t="n"/>
      <c r="T47" s="1479" t="n"/>
      <c r="U47" s="1479" t="n"/>
      <c r="V47" s="1479" t="n"/>
      <c r="W47" s="1479" t="n"/>
      <c r="X47" s="1479" t="n"/>
      <c r="Y47" s="1479" t="n"/>
      <c r="Z47" s="1190" t="n"/>
      <c r="AA47" s="33" t="n"/>
    </row>
    <row r="48" hidden="1" ht="13.15" customFormat="1" customHeight="1" s="34">
      <c r="B48" s="1442" t="n"/>
      <c r="C48" s="1496" t="inlineStr">
        <is>
          <t>⑵　コマ数　黒字：昨年と同じ、赤字：2021年と同じ、青字：昨年マイナス1or2</t>
        </is>
      </c>
      <c r="AA48" s="1458" t="n"/>
    </row>
    <row r="49" hidden="1" ht="13.15" customFormat="1" customHeight="1" s="34">
      <c r="B49" s="1442" t="n"/>
      <c r="C49" s="36" t="inlineStr">
        <is>
          <t>⑶　時間帯（1コマ90分）</t>
        </is>
      </c>
      <c r="AA49" s="35" t="n"/>
      <c r="AB49" s="120" t="n"/>
    </row>
    <row r="50" hidden="1" ht="13.15" customFormat="1" customHeight="1" s="34">
      <c r="B50" s="1442" t="n"/>
      <c r="C50" s="37" t="inlineStr">
        <is>
          <t xml:space="preserve"> Ⅰ9:30～11:00   Ⅱ 11:15～12:45  Ⅲ 13:20～14:50  Ⅳ 15:05～16:35  Ⅴ 16:50～18:20  Ⅵ 18:35～20:05  Ⅶ(自習) 20:20～21:00   </t>
        </is>
      </c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6" t="n"/>
    </row>
    <row r="51" hidden="1" ht="13.15" customFormat="1" customHeight="1" s="34">
      <c r="B51" s="1442" t="n"/>
      <c r="C51" s="37" t="inlineStr">
        <is>
          <t>⑷　生徒は前半２回、後半１回休みを取る。</t>
        </is>
      </c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9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9" t="n"/>
      <c r="X51" s="39" t="n"/>
      <c r="Y51" s="40" t="n"/>
      <c r="Z51" s="39" t="n"/>
      <c r="AA51" s="35" t="n"/>
      <c r="AB51" s="121" t="n"/>
    </row>
    <row r="52" hidden="1" ht="13.15" customFormat="1" customHeight="1" s="34">
      <c r="B52" s="1442" t="n"/>
      <c r="C52" s="37" t="inlineStr">
        <is>
          <t>⑸　週休一日の職員は前半３回、後半１回、週休二日の職員は前半４回、後半１回公休を取る。</t>
        </is>
      </c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9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9" t="n"/>
      <c r="X52" s="39" t="n"/>
      <c r="Y52" s="39" t="n"/>
      <c r="Z52" s="39" t="n"/>
      <c r="AA52" s="35" t="n"/>
    </row>
    <row r="53" hidden="1" ht="13.15" customFormat="1" customHeight="1" s="34">
      <c r="B53" s="1443" t="n"/>
      <c r="C53" s="41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3" t="n"/>
      <c r="X53" s="43" t="n"/>
      <c r="Y53" s="43" t="n"/>
      <c r="Z53" s="43" t="n"/>
      <c r="AA53" s="44" t="n"/>
    </row>
    <row r="54" hidden="1" ht="13.15" customHeight="1" s="1428"/>
    <row r="55" hidden="1" ht="13.15" customHeight="1" s="1428">
      <c r="C55" s="1076" t="inlineStr">
        <is>
          <t>梅光園</t>
        </is>
      </c>
      <c r="D55" s="1465" t="n"/>
      <c r="E55" s="265" t="n"/>
      <c r="F55" s="10" t="n"/>
      <c r="G55" s="10" t="n"/>
      <c r="H55" s="1076" t="inlineStr">
        <is>
          <t>六本松</t>
        </is>
      </c>
      <c r="I55" s="1475" t="n"/>
      <c r="J55" s="1465" t="n"/>
      <c r="K55" s="265" t="n"/>
      <c r="L55" s="10" t="n"/>
      <c r="M55" s="10" t="n"/>
      <c r="N55" s="1076" t="inlineStr">
        <is>
          <t>高宮</t>
        </is>
      </c>
      <c r="O55" s="1465" t="n"/>
      <c r="P55" s="10" t="n"/>
      <c r="Q55" s="1076" t="inlineStr">
        <is>
          <t>西新</t>
        </is>
      </c>
      <c r="R55" s="1475" t="n"/>
      <c r="S55" s="1465" t="n"/>
      <c r="T55" s="265" t="n"/>
      <c r="U55" s="10" t="n"/>
      <c r="V55" s="10" t="n"/>
      <c r="W55" s="7" t="n"/>
      <c r="X55" s="7" t="n"/>
      <c r="Y55" s="7" t="n"/>
      <c r="Z55" s="7" t="n"/>
    </row>
    <row r="56" hidden="1" ht="13.15" customHeight="1" s="1428">
      <c r="C56" s="45" t="inlineStr">
        <is>
          <t>3A</t>
        </is>
      </c>
      <c r="D56" s="46">
        <f>L36</f>
        <v/>
      </c>
      <c r="E56" s="93" t="n"/>
      <c r="F56" s="1119" t="n"/>
      <c r="G56" s="1119" t="n"/>
      <c r="H56" s="45" t="inlineStr">
        <is>
          <t>6A</t>
        </is>
      </c>
      <c r="I56" s="45" t="n"/>
      <c r="J56" s="46">
        <f>W36</f>
        <v/>
      </c>
      <c r="K56" s="93" t="n"/>
      <c r="L56" s="1119" t="n"/>
      <c r="M56" s="1119" t="n"/>
      <c r="N56" s="45" t="inlineStr">
        <is>
          <t>3A</t>
        </is>
      </c>
      <c r="O56" s="46">
        <f>L37</f>
        <v/>
      </c>
      <c r="P56" s="1119" t="n"/>
      <c r="Q56" s="45" t="inlineStr">
        <is>
          <t>3A</t>
        </is>
      </c>
      <c r="R56" s="45" t="n"/>
      <c r="S56" s="46">
        <f>L37</f>
        <v/>
      </c>
      <c r="T56" s="93" t="n"/>
      <c r="U56" s="10" t="n"/>
      <c r="V56" s="10" t="n"/>
    </row>
    <row r="57" hidden="1" ht="13.15" customHeight="1" s="1428">
      <c r="C57" s="45" t="inlineStr">
        <is>
          <t>3B</t>
        </is>
      </c>
      <c r="D57" s="46">
        <f>L38</f>
        <v/>
      </c>
      <c r="E57" s="93" t="n"/>
      <c r="F57" s="1119" t="n"/>
      <c r="G57" s="1119" t="n"/>
      <c r="H57" s="8" t="inlineStr">
        <is>
          <t>6B</t>
        </is>
      </c>
      <c r="I57" s="8" t="n"/>
      <c r="J57" s="46">
        <f>W37</f>
        <v/>
      </c>
      <c r="K57" s="93" t="n"/>
      <c r="L57" s="1119" t="n"/>
      <c r="M57" s="1119" t="n"/>
      <c r="N57" s="45" t="inlineStr">
        <is>
          <t>3B</t>
        </is>
      </c>
      <c r="O57" s="46">
        <f>L38</f>
        <v/>
      </c>
      <c r="P57" s="1119" t="n"/>
      <c r="Q57" s="45" t="inlineStr">
        <is>
          <t>3B</t>
        </is>
      </c>
      <c r="R57" s="45" t="n"/>
      <c r="S57" s="46">
        <f>L38</f>
        <v/>
      </c>
      <c r="T57" s="93" t="n"/>
      <c r="U57" s="10" t="n"/>
      <c r="V57" s="10" t="n"/>
    </row>
    <row r="58" hidden="1" ht="13.15" customHeight="1" s="1428">
      <c r="C58" s="45" t="inlineStr">
        <is>
          <t>3C</t>
        </is>
      </c>
      <c r="D58" s="46">
        <f>L38</f>
        <v/>
      </c>
      <c r="E58" s="93" t="n"/>
      <c r="F58" s="1119" t="n"/>
      <c r="G58" s="1119" t="n"/>
      <c r="H58" s="45" t="inlineStr">
        <is>
          <t>6C</t>
        </is>
      </c>
      <c r="I58" s="45" t="n"/>
      <c r="J58" s="46" t="n">
        <v>32</v>
      </c>
      <c r="K58" s="93" t="n"/>
      <c r="L58" s="1119" t="n"/>
      <c r="M58" s="1119" t="n"/>
      <c r="N58" s="45" t="inlineStr">
        <is>
          <t>2T</t>
        </is>
      </c>
      <c r="O58" s="46" t="n">
        <v>58</v>
      </c>
      <c r="P58" s="1119" t="n"/>
      <c r="Q58" s="45" t="inlineStr">
        <is>
          <t>2T</t>
        </is>
      </c>
      <c r="R58" s="45" t="n"/>
      <c r="S58" s="46" t="n">
        <v>58</v>
      </c>
      <c r="T58" s="93" t="n"/>
      <c r="U58" s="10" t="n"/>
      <c r="V58" s="10" t="n"/>
    </row>
    <row r="59" hidden="1" ht="13.15" customHeight="1" s="1428">
      <c r="C59" s="45" t="inlineStr">
        <is>
          <t>2T</t>
        </is>
      </c>
      <c r="D59" s="46" t="n">
        <v>58</v>
      </c>
      <c r="E59" s="93" t="n"/>
      <c r="F59" s="1119" t="n"/>
      <c r="G59" s="1119" t="n"/>
      <c r="H59" s="8" t="inlineStr">
        <is>
          <t>5HA</t>
        </is>
      </c>
      <c r="I59" s="8" t="n"/>
      <c r="J59" s="46" t="n">
        <v>28</v>
      </c>
      <c r="K59" s="93" t="n"/>
      <c r="L59" s="1119" t="n"/>
      <c r="M59" s="1119" t="n"/>
      <c r="N59" s="45" t="inlineStr">
        <is>
          <t>2Ａ</t>
        </is>
      </c>
      <c r="O59" s="46" t="n">
        <v>51</v>
      </c>
      <c r="P59" s="1119" t="n"/>
      <c r="Q59" s="45" t="inlineStr">
        <is>
          <t>2A</t>
        </is>
      </c>
      <c r="R59" s="45" t="n"/>
      <c r="S59" s="46" t="n">
        <v>51</v>
      </c>
      <c r="T59" s="93" t="n"/>
      <c r="U59" s="10" t="n"/>
      <c r="V59" s="10" t="n"/>
    </row>
    <row r="60" hidden="1" ht="13.15" customHeight="1" s="1428">
      <c r="C60" s="45" t="inlineStr">
        <is>
          <t>2A</t>
        </is>
      </c>
      <c r="D60" s="46">
        <f>L40</f>
        <v/>
      </c>
      <c r="E60" s="93" t="n"/>
      <c r="F60" s="1119" t="n"/>
      <c r="G60" s="1119" t="n"/>
      <c r="H60" s="8" t="inlineStr">
        <is>
          <t>5HB・外</t>
        </is>
      </c>
      <c r="I60" s="8" t="n"/>
      <c r="J60" s="46" t="n">
        <v>28</v>
      </c>
      <c r="K60" s="93" t="n"/>
      <c r="L60" s="1119" t="n"/>
      <c r="M60" s="1119" t="n"/>
      <c r="N60" s="45" t="inlineStr">
        <is>
          <t>1A</t>
        </is>
      </c>
      <c r="O60" s="230" t="n">
        <v>46</v>
      </c>
      <c r="P60" s="1119" t="n"/>
      <c r="Q60" s="45" t="inlineStr">
        <is>
          <t>1A</t>
        </is>
      </c>
      <c r="R60" s="45" t="n"/>
      <c r="S60" s="46" t="n">
        <v>46</v>
      </c>
      <c r="T60" s="93" t="n"/>
      <c r="U60" s="10" t="n"/>
      <c r="V60" s="10" t="n"/>
    </row>
    <row r="61" hidden="1" ht="13.15" customHeight="1" s="1428">
      <c r="C61" s="45" t="inlineStr">
        <is>
          <t>2B</t>
        </is>
      </c>
      <c r="D61" s="46">
        <f>L40</f>
        <v/>
      </c>
      <c r="E61" s="93" t="n"/>
      <c r="F61" s="1119" t="n"/>
      <c r="G61" s="1119" t="n"/>
      <c r="H61" s="45" t="inlineStr">
        <is>
          <t>4年</t>
        </is>
      </c>
      <c r="I61" s="45" t="n"/>
      <c r="J61" s="46">
        <f>W42</f>
        <v/>
      </c>
      <c r="K61" s="93" t="n"/>
      <c r="L61" s="1119" t="n"/>
      <c r="M61" s="1119" t="n"/>
      <c r="N61" s="45" t="inlineStr">
        <is>
          <t>1B</t>
        </is>
      </c>
      <c r="O61" s="46" t="n">
        <v>41</v>
      </c>
      <c r="P61" s="1119" t="n"/>
      <c r="Q61" s="45" t="inlineStr">
        <is>
          <t>1B</t>
        </is>
      </c>
      <c r="R61" s="45" t="n"/>
      <c r="S61" s="46" t="n">
        <v>41</v>
      </c>
      <c r="T61" s="93" t="n"/>
      <c r="U61" s="10" t="n"/>
      <c r="V61" s="10" t="n"/>
    </row>
    <row r="62" hidden="1" ht="13.15" customHeight="1" s="1428">
      <c r="C62" s="45" t="inlineStr">
        <is>
          <t>1A</t>
        </is>
      </c>
      <c r="D62" s="46" t="n">
        <v>46</v>
      </c>
      <c r="E62" s="93" t="n"/>
      <c r="F62" s="1119" t="n"/>
      <c r="G62" s="1119" t="n"/>
      <c r="H62" s="45" t="inlineStr">
        <is>
          <t>4外</t>
        </is>
      </c>
      <c r="I62" s="276" t="n"/>
      <c r="J62" s="131">
        <f>W42</f>
        <v/>
      </c>
      <c r="K62" s="93" t="n"/>
      <c r="L62" s="1119" t="n"/>
      <c r="M62" s="1119" t="n"/>
      <c r="N62" s="45" t="inlineStr">
        <is>
          <t>6受</t>
        </is>
      </c>
      <c r="O62" s="46">
        <f>W37</f>
        <v/>
      </c>
      <c r="P62" s="1119" t="n"/>
      <c r="Q62" s="45" t="inlineStr">
        <is>
          <t>6受</t>
        </is>
      </c>
      <c r="R62" s="45" t="n"/>
      <c r="S62" s="46">
        <f>W37</f>
        <v/>
      </c>
      <c r="T62" s="93" t="n"/>
      <c r="U62" s="10" t="n"/>
      <c r="V62" s="10" t="n"/>
    </row>
    <row r="63" hidden="1" ht="13.15" customHeight="1" s="1428">
      <c r="C63" s="45" t="inlineStr">
        <is>
          <t>1B</t>
        </is>
      </c>
      <c r="D63" s="46" t="n">
        <v>41</v>
      </c>
      <c r="E63" s="93" t="n"/>
      <c r="F63" s="1119" t="n"/>
      <c r="G63" s="1119" t="n"/>
      <c r="H63" s="8" t="inlineStr">
        <is>
          <t>5HA算数講座</t>
        </is>
      </c>
      <c r="I63" s="8" t="n"/>
      <c r="J63" s="46" t="n">
        <v>7</v>
      </c>
      <c r="K63" s="93" t="n"/>
      <c r="L63" s="1119" t="n"/>
      <c r="M63" s="1119" t="n"/>
      <c r="N63" s="45" t="inlineStr">
        <is>
          <t>6通</t>
        </is>
      </c>
      <c r="O63" s="46" t="n">
        <v>32</v>
      </c>
      <c r="P63" s="1119" t="n"/>
      <c r="Q63" s="45" t="inlineStr">
        <is>
          <t>6通</t>
        </is>
      </c>
      <c r="R63" s="45" t="n"/>
      <c r="S63" s="46" t="n">
        <v>32</v>
      </c>
      <c r="T63" s="93" t="n"/>
      <c r="U63" s="10" t="n"/>
      <c r="V63" s="10" t="n"/>
    </row>
    <row r="64" hidden="1" ht="13.15" customHeight="1" s="1428">
      <c r="C64" s="231" t="n"/>
      <c r="D64" s="231" t="n"/>
      <c r="E64" s="266" t="n"/>
      <c r="F64" s="1119" t="n"/>
      <c r="G64" s="1119" t="n"/>
      <c r="H64" s="8" t="inlineStr">
        <is>
          <t>5HA社会講座</t>
        </is>
      </c>
      <c r="I64" s="8" t="n"/>
      <c r="J64" s="46" t="n">
        <v>6</v>
      </c>
      <c r="K64" s="93" t="n"/>
      <c r="L64" s="1119" t="n"/>
      <c r="M64" s="1119" t="n"/>
      <c r="N64" s="45" t="inlineStr">
        <is>
          <t>5H</t>
        </is>
      </c>
      <c r="O64" s="46" t="n">
        <v>28</v>
      </c>
      <c r="P64" s="1119" t="n"/>
      <c r="Q64" s="45" t="inlineStr">
        <is>
          <t>5H</t>
        </is>
      </c>
      <c r="R64" s="45" t="n"/>
      <c r="S64" s="46" t="n">
        <v>28</v>
      </c>
      <c r="T64" s="93" t="n"/>
      <c r="U64" s="10" t="n"/>
      <c r="V64" s="10" t="n"/>
    </row>
    <row r="65" hidden="1" ht="13.15" customHeight="1" s="1428">
      <c r="C65" s="231" t="n"/>
      <c r="D65" s="231" t="n"/>
      <c r="E65" s="266" t="n"/>
      <c r="F65" s="1119" t="n"/>
      <c r="G65" s="1119" t="n"/>
      <c r="H65" s="8" t="inlineStr">
        <is>
          <t>5HA理科講座</t>
        </is>
      </c>
      <c r="I65" s="8" t="n"/>
      <c r="J65" s="46" t="n">
        <v>6</v>
      </c>
      <c r="K65" s="93" t="n"/>
      <c r="L65" s="1119" t="n"/>
      <c r="M65" s="1119" t="n"/>
      <c r="N65" s="45" t="inlineStr">
        <is>
          <t>4年</t>
        </is>
      </c>
      <c r="O65" s="46" t="n">
        <v>20</v>
      </c>
      <c r="P65" s="1119" t="n"/>
      <c r="Q65" s="45" t="inlineStr">
        <is>
          <t>4年</t>
        </is>
      </c>
      <c r="R65" s="45" t="n"/>
      <c r="S65" s="46" t="n">
        <v>20</v>
      </c>
      <c r="T65" s="93" t="n"/>
      <c r="U65" s="10" t="n"/>
      <c r="V65" s="10" t="n"/>
    </row>
    <row r="66" hidden="1" ht="13.15" customHeight="1" s="1428">
      <c r="C66" s="14" t="n"/>
      <c r="D66" s="14" t="n"/>
      <c r="F66" s="1119" t="n"/>
      <c r="G66" s="1119" t="n"/>
      <c r="H66" s="45" t="inlineStr">
        <is>
          <t>4年算数講座</t>
        </is>
      </c>
      <c r="I66" s="45" t="n"/>
      <c r="J66" s="46">
        <f>P45</f>
        <v/>
      </c>
      <c r="K66" s="93" t="n"/>
      <c r="L66" s="1119" t="n"/>
      <c r="M66" s="1119" t="n"/>
      <c r="N66" s="45" t="inlineStr">
        <is>
          <t>5年算数講座</t>
        </is>
      </c>
      <c r="O66" s="46" t="n">
        <v>7</v>
      </c>
      <c r="P66" s="1119" t="n"/>
      <c r="Q66" s="45" t="inlineStr">
        <is>
          <t>5年算数講座</t>
        </is>
      </c>
      <c r="R66" s="45" t="n"/>
      <c r="S66" s="46" t="n">
        <v>7</v>
      </c>
      <c r="T66" s="93" t="n"/>
      <c r="U66" s="10" t="n"/>
      <c r="V66" s="10" t="n"/>
    </row>
    <row r="67" hidden="1" ht="13.15" customHeight="1" s="1428">
      <c r="C67" s="14" t="n"/>
      <c r="D67" s="14" t="n"/>
      <c r="F67" s="1119" t="n"/>
      <c r="G67" s="1119" t="n"/>
      <c r="H67" s="14" t="n"/>
      <c r="I67" s="14" t="n"/>
      <c r="J67" s="14" t="n"/>
      <c r="L67" s="1119" t="n"/>
      <c r="M67" s="1119" t="n"/>
      <c r="N67" s="45" t="inlineStr">
        <is>
          <t>5年社会講座</t>
        </is>
      </c>
      <c r="O67" s="46" t="n">
        <v>6</v>
      </c>
      <c r="P67" s="1119" t="n"/>
      <c r="Q67" s="45" t="inlineStr">
        <is>
          <t>5年社会講座</t>
        </is>
      </c>
      <c r="R67" s="276" t="n"/>
      <c r="S67" s="48" t="n">
        <v>6</v>
      </c>
      <c r="T67" s="93" t="n"/>
      <c r="U67" s="10" t="n"/>
      <c r="V67" s="10" t="n"/>
    </row>
    <row r="68" hidden="1" ht="13.15" customHeight="1" s="1428">
      <c r="C68" s="14" t="n"/>
      <c r="D68" s="14" t="n"/>
      <c r="F68" s="1119" t="n"/>
      <c r="G68" s="1119" t="n"/>
      <c r="H68" s="231" t="n"/>
      <c r="I68" s="231" t="n"/>
      <c r="J68" s="231" t="n"/>
      <c r="K68" s="266" t="n"/>
      <c r="L68" s="1119" t="n"/>
      <c r="M68" s="1119" t="n"/>
      <c r="N68" s="1194" t="inlineStr">
        <is>
          <t>5年理科講座</t>
        </is>
      </c>
      <c r="O68" s="46" t="n">
        <v>6</v>
      </c>
      <c r="P68" s="1119" t="n"/>
      <c r="Q68" s="1194" t="inlineStr">
        <is>
          <t>5年理科講座</t>
        </is>
      </c>
      <c r="R68" s="276" t="n"/>
      <c r="S68" s="46" t="n">
        <v>6</v>
      </c>
      <c r="T68" s="93" t="n"/>
      <c r="U68" s="10" t="n"/>
      <c r="V68" s="10" t="n"/>
    </row>
    <row r="69" hidden="1" ht="13.15" customHeight="1" s="1428">
      <c r="C69" s="231" t="n"/>
      <c r="D69" s="231" t="n"/>
      <c r="E69" s="266" t="n"/>
      <c r="F69" s="93" t="n"/>
      <c r="G69" s="93" t="n"/>
      <c r="H69" s="231" t="n"/>
      <c r="I69" s="231" t="n"/>
      <c r="J69" s="231" t="n"/>
      <c r="K69" s="266" t="n"/>
      <c r="L69" s="1119" t="n"/>
      <c r="M69" s="1119" t="n"/>
      <c r="N69" s="45" t="inlineStr">
        <is>
          <t>4年算数講座</t>
        </is>
      </c>
      <c r="O69" s="46" t="n">
        <v>6</v>
      </c>
      <c r="P69" s="1119" t="n"/>
      <c r="Q69" s="45" t="inlineStr">
        <is>
          <t>4年算数講座</t>
        </is>
      </c>
      <c r="R69" s="45" t="n"/>
      <c r="S69" s="46" t="n">
        <v>6</v>
      </c>
      <c r="T69" s="93" t="n"/>
      <c r="U69" s="10" t="n"/>
      <c r="V69" s="10" t="n"/>
    </row>
    <row r="70" hidden="1" ht="13.15" customHeight="1" s="1428">
      <c r="C70" s="50" t="n"/>
      <c r="D70" s="51" t="n"/>
      <c r="E70" s="267" t="n"/>
      <c r="F70" s="19" t="n"/>
      <c r="G70" s="19" t="n"/>
      <c r="H70" s="14" t="n"/>
      <c r="I70" s="14" t="n"/>
      <c r="J70" s="14" t="n"/>
      <c r="L70" s="10" t="n"/>
      <c r="M70" s="10" t="n"/>
      <c r="N70" s="50" t="n"/>
      <c r="O70" s="47" t="n"/>
      <c r="P70" s="10" t="n"/>
      <c r="Q70" s="14" t="n"/>
      <c r="R70" s="14" t="n"/>
      <c r="S70" s="14" t="n"/>
      <c r="U70" s="10" t="n"/>
      <c r="V70" s="10" t="n"/>
    </row>
    <row r="71" hidden="1" ht="13.15" customHeight="1" s="1428">
      <c r="C71" s="8" t="n"/>
      <c r="D71" s="47" t="n"/>
      <c r="E71" s="19" t="n"/>
      <c r="F71" s="19" t="n"/>
      <c r="G71" s="19" t="n"/>
      <c r="H71" s="14" t="n"/>
      <c r="I71" s="14" t="n"/>
      <c r="J71" s="14" t="n"/>
      <c r="L71" s="10" t="n"/>
      <c r="M71" s="10" t="n"/>
      <c r="N71" s="50" t="inlineStr">
        <is>
          <t> </t>
        </is>
      </c>
      <c r="O71" s="47" t="inlineStr">
        <is>
          <t> </t>
        </is>
      </c>
      <c r="P71" s="10" t="n"/>
      <c r="Q71" s="50" t="n"/>
      <c r="R71" s="50" t="n"/>
      <c r="S71" s="47" t="n"/>
      <c r="T71" s="19" t="n"/>
      <c r="U71" s="15" t="n"/>
      <c r="V71" s="15" t="n"/>
    </row>
    <row r="72" hidden="1" ht="13.15" customHeight="1" s="1428">
      <c r="C72" s="52" t="inlineStr">
        <is>
          <t>合計</t>
        </is>
      </c>
      <c r="D72" s="53">
        <f>SUM(D56:D71)</f>
        <v/>
      </c>
      <c r="E72" s="54" t="n"/>
      <c r="F72" s="54" t="n"/>
      <c r="G72" s="54" t="n"/>
      <c r="H72" s="53" t="inlineStr">
        <is>
          <t>合計</t>
        </is>
      </c>
      <c r="I72" s="53" t="n"/>
      <c r="J72" s="53">
        <f>SUM(J56:J71)</f>
        <v/>
      </c>
      <c r="K72" s="54" t="n"/>
      <c r="L72" s="55" t="n"/>
      <c r="M72" s="55" t="n"/>
      <c r="N72" s="53" t="inlineStr">
        <is>
          <t>合計</t>
        </is>
      </c>
      <c r="O72" s="53">
        <f>SUM(O56:O71)</f>
        <v/>
      </c>
      <c r="P72" s="54" t="n"/>
      <c r="Q72" s="53" t="inlineStr">
        <is>
          <t>合計</t>
        </is>
      </c>
      <c r="R72" s="53" t="n"/>
      <c r="S72" s="53">
        <f>SUM(S56:S71)</f>
        <v/>
      </c>
      <c r="T72" s="54" t="n"/>
      <c r="U72" s="7" t="n"/>
      <c r="V72" s="7" t="n"/>
      <c r="W72" s="1466" t="inlineStr">
        <is>
          <t>➡合計</t>
        </is>
      </c>
      <c r="X72" s="1466" t="n"/>
      <c r="Y72" s="56">
        <f>SUM(D72+J72+O72+S72)</f>
        <v/>
      </c>
      <c r="Z72" s="56" t="n"/>
      <c r="AA72" s="57" t="inlineStr">
        <is>
          <t>差</t>
        </is>
      </c>
      <c r="AB72" s="138" t="n"/>
    </row>
    <row r="73" hidden="1" ht="13.15" customHeight="1" s="1428">
      <c r="C73" s="53" t="inlineStr">
        <is>
          <t>可能数</t>
        </is>
      </c>
      <c r="D73" s="53">
        <f>151*5</f>
        <v/>
      </c>
      <c r="E73" s="54" t="n"/>
      <c r="F73" s="54" t="n"/>
      <c r="G73" s="54" t="n"/>
      <c r="H73" s="53" t="inlineStr">
        <is>
          <t>可能数</t>
        </is>
      </c>
      <c r="I73" s="53" t="n"/>
      <c r="J73" s="53">
        <f>151*4</f>
        <v/>
      </c>
      <c r="K73" s="54" t="n"/>
      <c r="L73" s="55" t="n"/>
      <c r="M73" s="55" t="n"/>
      <c r="N73" s="53" t="inlineStr">
        <is>
          <t>可能数</t>
        </is>
      </c>
      <c r="O73" s="53">
        <f>151*8</f>
        <v/>
      </c>
      <c r="P73" s="54" t="n"/>
      <c r="Q73" s="53" t="inlineStr">
        <is>
          <t>可能数</t>
        </is>
      </c>
      <c r="R73" s="53" t="n"/>
      <c r="S73" s="53">
        <f>151*6</f>
        <v/>
      </c>
      <c r="T73" s="54" t="n"/>
      <c r="U73" s="7" t="n"/>
      <c r="V73" s="7" t="n"/>
      <c r="W73" s="58" t="inlineStr">
        <is>
          <t>(昨年)</t>
        </is>
      </c>
      <c r="X73" s="58" t="n"/>
      <c r="Y73" s="56">
        <f>D75+J75+O75+S75</f>
        <v/>
      </c>
      <c r="Z73" s="56" t="n"/>
      <c r="AA73" s="59">
        <f>Y72-Y73</f>
        <v/>
      </c>
      <c r="AB73" s="15" t="n"/>
    </row>
    <row r="74" hidden="1" ht="6" customHeight="1" s="1428"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5" t="n"/>
      <c r="M74" s="55" t="n"/>
      <c r="N74" s="54" t="n"/>
      <c r="O74" s="54" t="n"/>
      <c r="P74" s="54" t="n"/>
      <c r="Q74" s="54" t="n"/>
      <c r="R74" s="54" t="n"/>
      <c r="S74" s="54" t="n"/>
      <c r="T74" s="54" t="n"/>
      <c r="U74" s="7" t="n"/>
      <c r="V74" s="7" t="n"/>
      <c r="W74" s="58" t="n"/>
      <c r="X74" s="58" t="n"/>
      <c r="Y74" s="56" t="n"/>
      <c r="Z74" s="56" t="n"/>
      <c r="AA74" s="15" t="n"/>
      <c r="AB74" s="15" t="n"/>
    </row>
    <row r="75" hidden="1" ht="13.15" customHeight="1" s="1428">
      <c r="C75" s="60" t="inlineStr">
        <is>
          <t>（昨年）</t>
        </is>
      </c>
      <c r="D75" s="54" t="n">
        <v>527</v>
      </c>
      <c r="E75" s="54" t="n"/>
      <c r="F75" s="54" t="n"/>
      <c r="G75" s="54" t="n"/>
      <c r="H75" s="60" t="inlineStr">
        <is>
          <t>（昨年）</t>
        </is>
      </c>
      <c r="I75" s="65" t="n"/>
      <c r="J75" s="54" t="n">
        <v>324</v>
      </c>
      <c r="K75" s="54" t="n"/>
      <c r="L75" s="55" t="n"/>
      <c r="M75" s="55" t="n"/>
      <c r="N75" s="60" t="inlineStr">
        <is>
          <t>（昨年）</t>
        </is>
      </c>
      <c r="O75" s="54" t="n">
        <v>520</v>
      </c>
      <c r="P75" s="54" t="n"/>
      <c r="Q75" s="60" t="inlineStr">
        <is>
          <t>（昨年）</t>
        </is>
      </c>
      <c r="R75" s="65" t="n"/>
      <c r="S75" s="54" t="n">
        <v>520</v>
      </c>
      <c r="T75" s="54" t="n"/>
      <c r="U75" s="7" t="n"/>
      <c r="V75" s="7" t="n"/>
      <c r="W75" s="58" t="n"/>
      <c r="X75" s="58" t="n"/>
      <c r="Y75" s="56" t="n"/>
      <c r="Z75" s="56" t="n"/>
      <c r="AA75" s="15" t="n"/>
      <c r="AB75" s="15" t="n"/>
    </row>
    <row r="76" hidden="1" ht="13.15" customHeight="1" s="1428">
      <c r="C76" s="61" t="inlineStr">
        <is>
          <t>差</t>
        </is>
      </c>
      <c r="D76" s="62">
        <f>D72-D75</f>
        <v/>
      </c>
      <c r="E76" s="65" t="n"/>
      <c r="F76" s="63" t="n"/>
      <c r="G76" s="63" t="n"/>
      <c r="H76" s="61" t="inlineStr">
        <is>
          <t>差</t>
        </is>
      </c>
      <c r="I76" s="61" t="n"/>
      <c r="J76" s="62">
        <f>J72-J75</f>
        <v/>
      </c>
      <c r="K76" s="65" t="n"/>
      <c r="L76" s="64" t="n"/>
      <c r="M76" s="64" t="n"/>
      <c r="N76" s="61" t="inlineStr">
        <is>
          <t>差</t>
        </is>
      </c>
      <c r="O76" s="62">
        <f>O72-O75</f>
        <v/>
      </c>
      <c r="P76" s="63" t="n"/>
      <c r="Q76" s="61" t="inlineStr">
        <is>
          <t>差</t>
        </is>
      </c>
      <c r="R76" s="61" t="n"/>
      <c r="S76" s="62">
        <f>S72-S75</f>
        <v/>
      </c>
      <c r="T76" s="65" t="n"/>
      <c r="U76" s="7" t="n"/>
      <c r="V76" s="7" t="n"/>
      <c r="W76" s="7" t="n"/>
      <c r="X76" s="7" t="n"/>
      <c r="Y76" s="7" t="n"/>
      <c r="Z76" s="7" t="n"/>
    </row>
    <row r="77" ht="13.15" customHeight="1" s="1428">
      <c r="C77" s="65" t="n"/>
      <c r="D77" s="65" t="n"/>
      <c r="E77" s="65" t="n"/>
      <c r="F77" s="63">
        <f>D72+J72</f>
        <v/>
      </c>
      <c r="G77" s="63" t="n"/>
      <c r="H77" s="65" t="n"/>
      <c r="I77" s="65" t="n"/>
      <c r="J77" s="65" t="n"/>
      <c r="K77" s="65" t="n"/>
      <c r="L77" s="64" t="n"/>
      <c r="M77" s="64" t="n"/>
      <c r="N77" s="65" t="n"/>
      <c r="O77" s="65" t="n"/>
      <c r="P77" s="63" t="n"/>
      <c r="Q77" s="65" t="n"/>
      <c r="R77" s="65" t="n"/>
      <c r="S77" s="65" t="n"/>
      <c r="T77" s="65" t="n"/>
      <c r="U77" s="7" t="n"/>
      <c r="V77" s="7" t="n"/>
      <c r="W77" s="7" t="n"/>
      <c r="X77" s="7" t="n"/>
      <c r="Y77" s="7" t="n"/>
      <c r="Z77" s="7" t="n"/>
    </row>
    <row r="78" ht="20.25" customFormat="1" customHeight="1" s="1080" thickBot="1">
      <c r="B78" s="1079" t="inlineStr">
        <is>
          <t>３．担当者（●：変更・新規、★：飛び）</t>
        </is>
      </c>
    </row>
    <row r="79" ht="20.25" customHeight="1" s="1428" thickBot="1">
      <c r="B79" s="1177" t="inlineStr">
        <is>
          <t>梅光園</t>
        </is>
      </c>
      <c r="C79" s="1467" t="n"/>
      <c r="D79" s="1467" t="n"/>
      <c r="E79" s="1467" t="n"/>
      <c r="F79" s="1467" t="n"/>
      <c r="G79" s="1467" t="n"/>
      <c r="H79" s="1467" t="n"/>
      <c r="I79" s="1467" t="n"/>
      <c r="J79" s="1467" t="n"/>
      <c r="K79" s="1467" t="n"/>
      <c r="L79" s="1468" t="n"/>
      <c r="M79" s="295" t="n"/>
      <c r="N79" s="19" t="n"/>
      <c r="O79" s="1177" t="inlineStr">
        <is>
          <t>六本松</t>
        </is>
      </c>
      <c r="P79" s="1467" t="n"/>
      <c r="Q79" s="1467" t="n"/>
      <c r="R79" s="1467" t="n"/>
      <c r="S79" s="1467" t="n"/>
      <c r="T79" s="1467" t="n"/>
      <c r="U79" s="1467" t="n"/>
      <c r="V79" s="1467" t="n"/>
      <c r="W79" s="1467" t="n"/>
      <c r="X79" s="1467" t="n"/>
      <c r="Y79" s="1468" t="n"/>
      <c r="Z79" s="295" t="n"/>
      <c r="AG79" s="1119" t="n"/>
    </row>
    <row r="80" ht="20.25" customHeight="1" s="1428" thickBot="1" thickTop="1">
      <c r="B80" s="67" t="inlineStr">
        <is>
          <t>クラス</t>
        </is>
      </c>
      <c r="C80" s="68" t="inlineStr">
        <is>
          <t>担任</t>
        </is>
      </c>
      <c r="D80" s="69" t="inlineStr">
        <is>
          <t>国語</t>
        </is>
      </c>
      <c r="E80" s="69" t="n"/>
      <c r="F80" s="70" t="inlineStr">
        <is>
          <t>数学</t>
        </is>
      </c>
      <c r="G80" s="70" t="n"/>
      <c r="H80" s="70" t="inlineStr">
        <is>
          <t>社会</t>
        </is>
      </c>
      <c r="I80" s="70" t="n"/>
      <c r="J80" s="70" t="inlineStr">
        <is>
          <t>理科</t>
        </is>
      </c>
      <c r="K80" s="85" t="n"/>
      <c r="L80" s="71" t="inlineStr">
        <is>
          <t>英語</t>
        </is>
      </c>
      <c r="M80" s="296" t="n"/>
      <c r="N80" s="10" t="n"/>
      <c r="O80" s="67" t="inlineStr">
        <is>
          <t>クラス</t>
        </is>
      </c>
      <c r="P80" s="68" t="inlineStr">
        <is>
          <t>担任</t>
        </is>
      </c>
      <c r="Q80" s="69" t="inlineStr">
        <is>
          <t>国語</t>
        </is>
      </c>
      <c r="R80" s="69" t="n"/>
      <c r="S80" s="70" t="inlineStr">
        <is>
          <t>算数</t>
        </is>
      </c>
      <c r="T80" s="70" t="n"/>
      <c r="U80" s="70" t="inlineStr">
        <is>
          <t>社会</t>
        </is>
      </c>
      <c r="V80" s="70" t="n"/>
      <c r="W80" s="70" t="inlineStr">
        <is>
          <t>理科</t>
        </is>
      </c>
      <c r="X80" s="85" t="n"/>
      <c r="Y80" s="71" t="inlineStr">
        <is>
          <t>算数講座</t>
        </is>
      </c>
      <c r="Z80" s="296" t="n"/>
      <c r="AG80" s="10" t="n"/>
    </row>
    <row r="81" ht="20.25" customHeight="1" s="1428" thickTop="1">
      <c r="A81" s="233" t="n">
        <v>28</v>
      </c>
      <c r="B81" s="77" t="inlineStr">
        <is>
          <t>3A</t>
        </is>
      </c>
      <c r="C81" s="163" t="inlineStr">
        <is>
          <t>黒岩</t>
        </is>
      </c>
      <c r="D81" s="160" t="inlineStr">
        <is>
          <t>日高</t>
        </is>
      </c>
      <c r="E81" s="323" t="n">
        <v>14</v>
      </c>
      <c r="F81" s="1195" t="inlineStr">
        <is>
          <t>黒岩</t>
        </is>
      </c>
      <c r="G81" s="327" t="n">
        <v>22</v>
      </c>
      <c r="H81" s="1195" t="inlineStr">
        <is>
          <t>藤田</t>
        </is>
      </c>
      <c r="I81" s="327" t="n">
        <v>16</v>
      </c>
      <c r="J81" s="1195" t="inlineStr">
        <is>
          <t>和久</t>
        </is>
      </c>
      <c r="K81" s="339" t="n">
        <v>16</v>
      </c>
      <c r="L81" s="1199" t="inlineStr">
        <is>
          <t>土井下</t>
        </is>
      </c>
      <c r="M81" s="1119" t="n">
        <v>20</v>
      </c>
      <c r="N81" s="234" t="n">
        <v>53</v>
      </c>
      <c r="O81" s="87" t="inlineStr">
        <is>
          <t>6年A</t>
        </is>
      </c>
      <c r="P81" s="207" t="inlineStr">
        <is>
          <t>日高</t>
        </is>
      </c>
      <c r="Q81" s="208" t="inlineStr">
        <is>
          <t>日高</t>
        </is>
      </c>
      <c r="R81" s="323" t="n">
        <v>17</v>
      </c>
      <c r="S81" s="1195" t="inlineStr">
        <is>
          <t>黒岩</t>
        </is>
      </c>
      <c r="T81" s="327" t="n">
        <v>23</v>
      </c>
      <c r="U81" s="1195" t="inlineStr">
        <is>
          <t>藤田</t>
        </is>
      </c>
      <c r="V81" s="327" t="n">
        <v>19</v>
      </c>
      <c r="W81" s="1195" t="inlineStr">
        <is>
          <t>和久</t>
        </is>
      </c>
      <c r="X81" s="339" t="n">
        <v>17</v>
      </c>
      <c r="Y81" s="209" t="n"/>
      <c r="Z81" s="313" t="n"/>
      <c r="AC81" s="660" t="inlineStr">
        <is>
          <t>国</t>
        </is>
      </c>
      <c r="AD81" s="4">
        <f>SUM(E81:E90,E93:E103,R81:R87,R93:R103)</f>
        <v/>
      </c>
      <c r="AG81" s="1119" t="n"/>
    </row>
    <row r="82" ht="20.25" customHeight="1" s="1428">
      <c r="A82" s="233" t="n">
        <v>33</v>
      </c>
      <c r="B82" s="77" t="inlineStr">
        <is>
          <t>3B</t>
        </is>
      </c>
      <c r="C82" s="163" t="inlineStr">
        <is>
          <t>岡野</t>
        </is>
      </c>
      <c r="D82" s="160" t="inlineStr">
        <is>
          <t>日高</t>
        </is>
      </c>
      <c r="E82" s="323" t="n">
        <v>13</v>
      </c>
      <c r="F82" s="1195" t="inlineStr">
        <is>
          <t>柿木</t>
        </is>
      </c>
      <c r="G82" s="327" t="n">
        <v>18</v>
      </c>
      <c r="H82" s="1195" t="inlineStr">
        <is>
          <t>岡野</t>
        </is>
      </c>
      <c r="I82" s="327" t="n">
        <v>13</v>
      </c>
      <c r="J82" s="1195" t="inlineStr">
        <is>
          <t>平野</t>
        </is>
      </c>
      <c r="K82" s="339" t="n">
        <v>13</v>
      </c>
      <c r="L82" s="1199" t="inlineStr">
        <is>
          <t>土井下</t>
        </is>
      </c>
      <c r="M82" s="1119" t="n">
        <v>15</v>
      </c>
      <c r="N82" s="234" t="n">
        <v>45</v>
      </c>
      <c r="O82" s="212" t="inlineStr">
        <is>
          <t>6年B</t>
        </is>
      </c>
      <c r="P82" s="112" t="inlineStr">
        <is>
          <t>柿木</t>
        </is>
      </c>
      <c r="Q82" s="113" t="inlineStr">
        <is>
          <t>日高</t>
        </is>
      </c>
      <c r="R82" s="320" t="n">
        <v>17</v>
      </c>
      <c r="S82" s="113" t="inlineStr">
        <is>
          <t>柿木</t>
        </is>
      </c>
      <c r="T82" s="320" t="n">
        <v>21</v>
      </c>
      <c r="U82" s="113" t="inlineStr">
        <is>
          <t>岡野</t>
        </is>
      </c>
      <c r="V82" s="338" t="n">
        <v>16</v>
      </c>
      <c r="W82" s="238" t="inlineStr">
        <is>
          <t>平野</t>
        </is>
      </c>
      <c r="X82" s="338" t="n">
        <v>16</v>
      </c>
      <c r="Y82" s="213" t="n"/>
      <c r="Z82" s="313" t="n"/>
      <c r="AC82" s="660" t="inlineStr">
        <is>
          <t>数</t>
        </is>
      </c>
      <c r="AD82" s="4">
        <f>SUM(G80:G89,G93:G103,T81:T87,T93:T103,Z84:Z86,M102:M103,Z102:Z103)</f>
        <v/>
      </c>
      <c r="AG82" s="1119" t="n"/>
    </row>
    <row r="83" ht="20.25" customHeight="1" s="1428" thickBot="1">
      <c r="A83" s="233" t="n">
        <v>50</v>
      </c>
      <c r="B83" s="72" t="inlineStr">
        <is>
          <t>3C</t>
        </is>
      </c>
      <c r="C83" s="204" t="inlineStr">
        <is>
          <t>副島</t>
        </is>
      </c>
      <c r="D83" s="164" t="inlineStr">
        <is>
          <t>副島</t>
        </is>
      </c>
      <c r="E83" s="321" t="n">
        <v>13</v>
      </c>
      <c r="F83" s="105" t="inlineStr">
        <is>
          <t>柿木</t>
        </is>
      </c>
      <c r="G83" s="332" t="n">
        <v>18</v>
      </c>
      <c r="H83" s="105" t="inlineStr">
        <is>
          <t>岡野</t>
        </is>
      </c>
      <c r="I83" s="332" t="n">
        <v>13</v>
      </c>
      <c r="J83" s="105" t="inlineStr">
        <is>
          <t>栗原</t>
        </is>
      </c>
      <c r="K83" s="123" t="n">
        <v>13</v>
      </c>
      <c r="L83" s="157" t="inlineStr">
        <is>
          <t>堀</t>
        </is>
      </c>
      <c r="M83" s="1119" t="n">
        <v>15</v>
      </c>
      <c r="N83" s="234" t="n">
        <v>48</v>
      </c>
      <c r="O83" s="72" t="inlineStr">
        <is>
          <t>6年C</t>
        </is>
      </c>
      <c r="P83" s="204" t="inlineStr">
        <is>
          <t>平野</t>
        </is>
      </c>
      <c r="Q83" s="164" t="inlineStr">
        <is>
          <t>日高</t>
        </is>
      </c>
      <c r="R83" s="321" t="n">
        <v>7</v>
      </c>
      <c r="S83" s="105" t="inlineStr">
        <is>
          <t>堀</t>
        </is>
      </c>
      <c r="T83" s="332" t="n">
        <v>9</v>
      </c>
      <c r="U83" s="105" t="inlineStr">
        <is>
          <t>長本</t>
        </is>
      </c>
      <c r="V83" s="332" t="n">
        <v>8</v>
      </c>
      <c r="W83" s="105" t="inlineStr">
        <is>
          <t>平野</t>
        </is>
      </c>
      <c r="X83" s="343" t="n">
        <v>8</v>
      </c>
      <c r="Y83" s="237" t="n"/>
      <c r="Z83" s="313" t="n"/>
      <c r="AC83" s="660" t="inlineStr">
        <is>
          <t>社</t>
        </is>
      </c>
      <c r="AD83" s="4">
        <f>SUM(I81:I90,I93:I103,V81:V87,V93:V103,G104,T104,T88)</f>
        <v/>
      </c>
      <c r="AG83" s="10" t="n"/>
    </row>
    <row r="84" ht="20.25" customHeight="1" s="1428">
      <c r="A84" s="233" t="n">
        <v>49</v>
      </c>
      <c r="B84" s="74" t="inlineStr">
        <is>
          <t>2特</t>
        </is>
      </c>
      <c r="C84" s="205" t="inlineStr">
        <is>
          <t>土井下</t>
        </is>
      </c>
      <c r="D84" s="217" t="inlineStr">
        <is>
          <t>長本</t>
        </is>
      </c>
      <c r="E84" s="325" t="n">
        <v>8</v>
      </c>
      <c r="F84" s="158" t="inlineStr">
        <is>
          <t>黒岩</t>
        </is>
      </c>
      <c r="G84" s="328" t="n">
        <v>13</v>
      </c>
      <c r="H84" s="158" t="inlineStr">
        <is>
          <t>藤田</t>
        </is>
      </c>
      <c r="I84" s="328" t="n">
        <v>10</v>
      </c>
      <c r="J84" s="158" t="inlineStr">
        <is>
          <t>和久</t>
        </is>
      </c>
      <c r="K84" s="341" t="n">
        <v>11</v>
      </c>
      <c r="L84" s="166" t="inlineStr">
        <is>
          <t>土井下</t>
        </is>
      </c>
      <c r="M84" s="1119" t="n">
        <v>16</v>
      </c>
      <c r="N84" s="234" t="n">
        <v>39</v>
      </c>
      <c r="O84" s="77" t="inlineStr">
        <is>
          <t>5HA</t>
        </is>
      </c>
      <c r="P84" s="163" t="inlineStr">
        <is>
          <t>日高</t>
        </is>
      </c>
      <c r="Q84" s="160" t="inlineStr">
        <is>
          <t>日高</t>
        </is>
      </c>
      <c r="R84" s="323" t="n">
        <v>7</v>
      </c>
      <c r="S84" s="1195" t="inlineStr">
        <is>
          <t>柿木</t>
        </is>
      </c>
      <c r="T84" s="327" t="n">
        <v>7</v>
      </c>
      <c r="U84" s="1195" t="inlineStr">
        <is>
          <t>岡野</t>
        </is>
      </c>
      <c r="V84" s="327" t="n">
        <v>7</v>
      </c>
      <c r="W84" s="1195" t="inlineStr">
        <is>
          <t>平野</t>
        </is>
      </c>
      <c r="X84" s="346" t="n">
        <v>7</v>
      </c>
      <c r="Y84" s="90" t="inlineStr">
        <is>
          <t>柿木</t>
        </is>
      </c>
      <c r="Z84" s="334" t="n">
        <v>7</v>
      </c>
      <c r="AC84" s="660" t="inlineStr">
        <is>
          <t>理</t>
        </is>
      </c>
      <c r="AD84" s="4">
        <f>SUM(K81:K90,K93:K104,X81:X88,X93:X104)</f>
        <v/>
      </c>
      <c r="AG84" s="1119" t="n"/>
    </row>
    <row r="85" ht="20.25" customHeight="1" s="1428" thickBot="1">
      <c r="A85" s="233" t="n">
        <v>5</v>
      </c>
      <c r="B85" s="77" t="inlineStr">
        <is>
          <t>2A(S)</t>
        </is>
      </c>
      <c r="C85" s="163" t="inlineStr">
        <is>
          <t>栗原</t>
        </is>
      </c>
      <c r="D85" s="208" t="inlineStr">
        <is>
          <t>副島</t>
        </is>
      </c>
      <c r="E85" s="323" t="n">
        <v>8</v>
      </c>
      <c r="F85" s="1195" t="inlineStr">
        <is>
          <t>平野</t>
        </is>
      </c>
      <c r="G85" s="327" t="n">
        <v>12</v>
      </c>
      <c r="H85" s="1195" t="inlineStr">
        <is>
          <t>岡野</t>
        </is>
      </c>
      <c r="I85" s="327" t="n">
        <v>10</v>
      </c>
      <c r="J85" s="1195" t="inlineStr">
        <is>
          <t>栗原</t>
        </is>
      </c>
      <c r="K85" s="275" t="n">
        <v>9</v>
      </c>
      <c r="L85" s="1199" t="inlineStr">
        <is>
          <t>堀</t>
        </is>
      </c>
      <c r="M85" s="1119" t="n">
        <v>12</v>
      </c>
      <c r="N85" s="234" t="n"/>
      <c r="O85" s="212" t="inlineStr">
        <is>
          <t>5HB・外</t>
        </is>
      </c>
      <c r="P85" s="210" t="inlineStr">
        <is>
          <t>平野</t>
        </is>
      </c>
      <c r="Q85" s="239" t="inlineStr">
        <is>
          <t>日高</t>
        </is>
      </c>
      <c r="R85" s="324" t="n">
        <v>7</v>
      </c>
      <c r="S85" s="101" t="inlineStr">
        <is>
          <t>堀</t>
        </is>
      </c>
      <c r="T85" s="330" t="n">
        <v>7</v>
      </c>
      <c r="U85" s="101" t="inlineStr">
        <is>
          <t>長本</t>
        </is>
      </c>
      <c r="V85" s="330" t="n">
        <v>7</v>
      </c>
      <c r="W85" s="101" t="inlineStr">
        <is>
          <t>平野</t>
        </is>
      </c>
      <c r="X85" s="340" t="n">
        <v>7</v>
      </c>
      <c r="Y85" s="211" t="n"/>
      <c r="Z85" s="313" t="n"/>
      <c r="AC85" s="660" t="inlineStr">
        <is>
          <t>英</t>
        </is>
      </c>
      <c r="AD85" s="4">
        <f>SUM(M81:M88,M93:M100,Z93:Z100)</f>
        <v/>
      </c>
      <c r="AG85" s="1119" t="n"/>
    </row>
    <row r="86" ht="20.25" customHeight="1" s="1428" thickBot="1">
      <c r="A86" s="233" t="n"/>
      <c r="B86" s="88" t="inlineStr">
        <is>
          <t>2B(S)</t>
        </is>
      </c>
      <c r="C86" s="210" t="inlineStr">
        <is>
          <t>堀</t>
        </is>
      </c>
      <c r="D86" s="100" t="inlineStr">
        <is>
          <t>副島</t>
        </is>
      </c>
      <c r="E86" s="324" t="n">
        <v>8</v>
      </c>
      <c r="F86" s="101" t="inlineStr">
        <is>
          <t>柿木</t>
        </is>
      </c>
      <c r="G86" s="330" t="n">
        <v>12</v>
      </c>
      <c r="H86" s="101" t="inlineStr">
        <is>
          <t>長本</t>
        </is>
      </c>
      <c r="I86" s="330" t="n">
        <v>10</v>
      </c>
      <c r="J86" s="101" t="inlineStr">
        <is>
          <t>栗原</t>
        </is>
      </c>
      <c r="K86" s="258" t="n">
        <v>9</v>
      </c>
      <c r="L86" s="216" t="inlineStr">
        <is>
          <t>堀</t>
        </is>
      </c>
      <c r="M86" s="1119" t="n">
        <v>12</v>
      </c>
      <c r="N86" s="234" t="n">
        <v>16</v>
      </c>
      <c r="O86" s="203" t="inlineStr">
        <is>
          <t>4年</t>
        </is>
      </c>
      <c r="P86" s="207" t="inlineStr">
        <is>
          <t>柿木</t>
        </is>
      </c>
      <c r="Q86" s="160" t="inlineStr">
        <is>
          <t>日高</t>
        </is>
      </c>
      <c r="R86" s="323" t="n">
        <v>7</v>
      </c>
      <c r="S86" s="1195" t="inlineStr">
        <is>
          <t>柿木</t>
        </is>
      </c>
      <c r="T86" s="327" t="n">
        <v>7</v>
      </c>
      <c r="U86" s="159" t="inlineStr">
        <is>
          <t>●長本</t>
        </is>
      </c>
      <c r="V86" s="327" t="n">
        <v>3</v>
      </c>
      <c r="W86" s="159" t="inlineStr">
        <is>
          <t>●栗原</t>
        </is>
      </c>
      <c r="X86" s="310" t="n">
        <v>3</v>
      </c>
      <c r="Y86" s="1199" t="inlineStr">
        <is>
          <t>平野</t>
        </is>
      </c>
      <c r="Z86" s="334" t="n">
        <v>6</v>
      </c>
      <c r="AG86" s="1119" t="n"/>
    </row>
    <row r="87" ht="20.25" customHeight="1" s="1428" thickBot="1">
      <c r="A87" s="233" t="n">
        <v>20</v>
      </c>
      <c r="B87" s="74" t="inlineStr">
        <is>
          <t>1A</t>
        </is>
      </c>
      <c r="C87" s="205" t="inlineStr">
        <is>
          <t>黒岩</t>
        </is>
      </c>
      <c r="D87" s="217" t="inlineStr">
        <is>
          <t>副島</t>
        </is>
      </c>
      <c r="E87" s="325" t="n">
        <v>7</v>
      </c>
      <c r="F87" s="158" t="inlineStr">
        <is>
          <t>黒岩</t>
        </is>
      </c>
      <c r="G87" s="328" t="n">
        <v>10</v>
      </c>
      <c r="H87" s="158" t="inlineStr">
        <is>
          <t>岡野</t>
        </is>
      </c>
      <c r="I87" s="328" t="n">
        <v>7</v>
      </c>
      <c r="J87" s="158" t="inlineStr">
        <is>
          <t>栗原</t>
        </is>
      </c>
      <c r="K87" s="287" t="n">
        <v>7</v>
      </c>
      <c r="L87" s="166" t="inlineStr">
        <is>
          <t>館長・堀</t>
        </is>
      </c>
      <c r="M87" s="1119" t="n">
        <v>10</v>
      </c>
      <c r="N87" s="234" t="n">
        <v>37</v>
      </c>
      <c r="O87" s="214" t="inlineStr">
        <is>
          <t>4外</t>
        </is>
      </c>
      <c r="P87" s="168" t="inlineStr">
        <is>
          <t>●柿木</t>
        </is>
      </c>
      <c r="Q87" s="242" t="inlineStr">
        <is>
          <t>●日高</t>
        </is>
      </c>
      <c r="R87" s="169" t="n">
        <v>7</v>
      </c>
      <c r="S87" s="243" t="inlineStr">
        <is>
          <t>柿木</t>
        </is>
      </c>
      <c r="T87" s="331" t="n">
        <v>7</v>
      </c>
      <c r="U87" s="244" t="inlineStr">
        <is>
          <t>長本</t>
        </is>
      </c>
      <c r="V87" s="336" t="n">
        <v>3</v>
      </c>
      <c r="W87" s="244" t="inlineStr">
        <is>
          <t>●栗原</t>
        </is>
      </c>
      <c r="X87" s="311" t="n">
        <v>3</v>
      </c>
      <c r="Y87" s="245" t="n"/>
      <c r="Z87" s="313" t="n"/>
      <c r="AD87" s="4">
        <f>SUM(AD80:AD85)</f>
        <v/>
      </c>
      <c r="AG87" s="1119" t="n"/>
    </row>
    <row r="88" ht="20.25" customHeight="1" s="1428" thickBot="1" thickTop="1">
      <c r="A88" s="233" t="n">
        <v>23</v>
      </c>
      <c r="B88" s="72" t="inlineStr">
        <is>
          <t>1B(S)</t>
        </is>
      </c>
      <c r="C88" s="204" t="inlineStr">
        <is>
          <t>長本</t>
        </is>
      </c>
      <c r="D88" s="164" t="inlineStr">
        <is>
          <t>長本</t>
        </is>
      </c>
      <c r="E88" s="321" t="n">
        <v>7</v>
      </c>
      <c r="F88" s="105" t="inlineStr">
        <is>
          <t>平野</t>
        </is>
      </c>
      <c r="G88" s="332" t="n">
        <v>13</v>
      </c>
      <c r="H88" s="105" t="inlineStr">
        <is>
          <t>副島</t>
        </is>
      </c>
      <c r="I88" s="332" t="n">
        <v>7</v>
      </c>
      <c r="J88" s="105" t="inlineStr">
        <is>
          <t>栗原</t>
        </is>
      </c>
      <c r="K88" s="123" t="n">
        <v>7</v>
      </c>
      <c r="L88" s="157" t="inlineStr">
        <is>
          <t>堀</t>
        </is>
      </c>
      <c r="M88" s="1119" t="n">
        <v>12</v>
      </c>
      <c r="N88" s="235" t="n"/>
      <c r="O88" s="1497" t="inlineStr">
        <is>
          <t>5年特別講座</t>
        </is>
      </c>
      <c r="P88" s="1470" t="n"/>
      <c r="Q88" s="240" t="inlineStr">
        <is>
          <t>社会</t>
        </is>
      </c>
      <c r="R88" s="240" t="n"/>
      <c r="S88" s="105" t="inlineStr">
        <is>
          <t>●岡野</t>
        </is>
      </c>
      <c r="T88" s="332" t="n">
        <v>6</v>
      </c>
      <c r="U88" s="241" t="inlineStr">
        <is>
          <t>理科</t>
        </is>
      </c>
      <c r="V88" s="241" t="n"/>
      <c r="W88" s="105" t="inlineStr">
        <is>
          <t>●平野</t>
        </is>
      </c>
      <c r="X88" s="343" t="n">
        <v>6</v>
      </c>
      <c r="Y88" s="86" t="n"/>
      <c r="Z88" s="297" t="n"/>
      <c r="AG88" s="1119" t="n"/>
    </row>
    <row r="89" ht="20.25" customHeight="1" s="1428">
      <c r="A89" s="233" t="n"/>
      <c r="B89" s="1085" t="n"/>
      <c r="C89" s="10" t="n"/>
      <c r="D89" s="10" t="n"/>
      <c r="E89" s="10" t="n"/>
      <c r="F89" s="1119" t="n"/>
      <c r="G89" s="1119" t="n"/>
      <c r="H89" s="1119" t="n"/>
      <c r="I89" s="1119" t="n"/>
      <c r="J89" s="1119" t="n"/>
      <c r="K89" s="1119" t="n"/>
      <c r="L89" s="10" t="n"/>
      <c r="M89" s="10">
        <f>SUM(E81:E88,G81:G88,I81:I88,K81:K88,M81:M88)</f>
        <v/>
      </c>
      <c r="N89" s="234" t="n"/>
      <c r="O89" s="1119" t="n"/>
      <c r="P89" s="1183" t="inlineStr">
        <is>
          <t>↑柿木…担任３</t>
        </is>
      </c>
      <c r="R89" s="1183" t="n"/>
      <c r="S89" s="10" t="n"/>
      <c r="T89" s="10" t="n"/>
      <c r="U89" s="10" t="n"/>
      <c r="V89" s="10" t="n"/>
      <c r="W89" s="10" t="n"/>
      <c r="X89" s="10" t="n"/>
      <c r="Y89" s="10" t="n"/>
      <c r="Z89" s="10">
        <f>SUM(R81:R88,T81:T88,V81:V88,X81:X88,Z81:Z88)</f>
        <v/>
      </c>
      <c r="AG89" s="10" t="n"/>
    </row>
    <row r="90" ht="20.25" customHeight="1" s="1428" thickBot="1">
      <c r="A90" s="233" t="n"/>
      <c r="N90" s="234" t="n"/>
      <c r="O90" s="93" t="n"/>
      <c r="P90" s="93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G90" s="1119" t="n"/>
    </row>
    <row r="91" ht="20.25" customHeight="1" s="1428" thickBot="1">
      <c r="A91" s="233" t="n"/>
      <c r="B91" s="1498" t="inlineStr">
        <is>
          <t>高宮</t>
        </is>
      </c>
      <c r="C91" s="1467" t="n"/>
      <c r="D91" s="1467" t="n"/>
      <c r="E91" s="1467" t="n"/>
      <c r="F91" s="1467" t="n"/>
      <c r="G91" s="1467" t="n"/>
      <c r="H91" s="1467" t="n"/>
      <c r="I91" s="1467" t="n"/>
      <c r="J91" s="1467" t="n"/>
      <c r="K91" s="1467" t="n"/>
      <c r="L91" s="1473" t="n"/>
      <c r="M91" s="295" t="n"/>
      <c r="N91" s="234" t="n"/>
      <c r="O91" s="1498" t="inlineStr">
        <is>
          <t>西新</t>
        </is>
      </c>
      <c r="P91" s="1467" t="n"/>
      <c r="Q91" s="1467" t="n"/>
      <c r="R91" s="1467" t="n"/>
      <c r="S91" s="1467" t="n"/>
      <c r="T91" s="1467" t="n"/>
      <c r="U91" s="1467" t="n"/>
      <c r="V91" s="1467" t="n"/>
      <c r="W91" s="1467" t="n"/>
      <c r="X91" s="1467" t="n"/>
      <c r="Y91" s="1473" t="n"/>
      <c r="Z91" s="295" t="n"/>
      <c r="AG91" s="10" t="n"/>
    </row>
    <row r="92" ht="20.25" customHeight="1" s="1428" thickBot="1" thickTop="1">
      <c r="A92" s="233" t="n"/>
      <c r="B92" s="95" t="inlineStr">
        <is>
          <t>クラス</t>
        </is>
      </c>
      <c r="C92" s="96" t="inlineStr">
        <is>
          <t>担任</t>
        </is>
      </c>
      <c r="D92" s="97" t="inlineStr">
        <is>
          <t>国語</t>
        </is>
      </c>
      <c r="E92" s="97" t="n"/>
      <c r="F92" s="98" t="inlineStr">
        <is>
          <t>数学</t>
        </is>
      </c>
      <c r="G92" s="98" t="n"/>
      <c r="H92" s="98" t="inlineStr">
        <is>
          <t>社会</t>
        </is>
      </c>
      <c r="I92" s="98" t="n"/>
      <c r="J92" s="98" t="inlineStr">
        <is>
          <t>理科</t>
        </is>
      </c>
      <c r="K92" s="288" t="n"/>
      <c r="L92" s="99" t="inlineStr">
        <is>
          <t>英語</t>
        </is>
      </c>
      <c r="M92" s="296" t="n"/>
      <c r="N92" s="234" t="n"/>
      <c r="O92" s="95" t="inlineStr">
        <is>
          <t>クラス</t>
        </is>
      </c>
      <c r="P92" s="96" t="inlineStr">
        <is>
          <t>担任</t>
        </is>
      </c>
      <c r="Q92" s="97" t="inlineStr">
        <is>
          <t>国語</t>
        </is>
      </c>
      <c r="R92" s="97" t="n"/>
      <c r="S92" s="98" t="inlineStr">
        <is>
          <t>数学</t>
        </is>
      </c>
      <c r="T92" s="98" t="n"/>
      <c r="U92" s="98" t="inlineStr">
        <is>
          <t>社会</t>
        </is>
      </c>
      <c r="V92" s="98" t="n"/>
      <c r="W92" s="98" t="inlineStr">
        <is>
          <t>理科</t>
        </is>
      </c>
      <c r="X92" s="288" t="n"/>
      <c r="Y92" s="99" t="inlineStr">
        <is>
          <t>英語</t>
        </is>
      </c>
      <c r="Z92" s="296" t="n"/>
      <c r="AG92" s="1119" t="n"/>
    </row>
    <row r="93" ht="20.25" customHeight="1" s="1428" thickTop="1">
      <c r="A93" s="233" t="n">
        <v>34</v>
      </c>
      <c r="B93" s="77" t="inlineStr">
        <is>
          <t>3A</t>
        </is>
      </c>
      <c r="C93" s="78" t="inlineStr">
        <is>
          <t>小野</t>
        </is>
      </c>
      <c r="D93" s="160" t="inlineStr">
        <is>
          <t>佐藤</t>
        </is>
      </c>
      <c r="E93" s="323" t="n">
        <v>13</v>
      </c>
      <c r="F93" s="1195" t="inlineStr">
        <is>
          <t>小野</t>
        </is>
      </c>
      <c r="G93" s="327" t="n">
        <v>20</v>
      </c>
      <c r="H93" s="1195" t="inlineStr">
        <is>
          <t>野口</t>
        </is>
      </c>
      <c r="I93" s="327" t="n">
        <v>13</v>
      </c>
      <c r="J93" s="1195" t="inlineStr">
        <is>
          <t>神田</t>
        </is>
      </c>
      <c r="K93" s="339" t="n">
        <v>13</v>
      </c>
      <c r="L93" s="1199" t="inlineStr">
        <is>
          <t>中嶋</t>
        </is>
      </c>
      <c r="M93" s="1119" t="n">
        <v>18</v>
      </c>
      <c r="N93" s="234" t="n">
        <v>28</v>
      </c>
      <c r="O93" s="73" t="inlineStr">
        <is>
          <t>3A</t>
        </is>
      </c>
      <c r="P93" s="163" t="inlineStr">
        <is>
          <t>髙本</t>
        </is>
      </c>
      <c r="Q93" s="160" t="inlineStr">
        <is>
          <t>馬渡</t>
        </is>
      </c>
      <c r="R93" s="323" t="n">
        <v>13</v>
      </c>
      <c r="S93" s="1195" t="inlineStr">
        <is>
          <t>髙本</t>
        </is>
      </c>
      <c r="T93" s="327" t="n">
        <v>20</v>
      </c>
      <c r="U93" s="1195" t="inlineStr">
        <is>
          <t>右田</t>
        </is>
      </c>
      <c r="V93" s="327" t="n">
        <v>13</v>
      </c>
      <c r="W93" s="1195" t="inlineStr">
        <is>
          <t>田代</t>
        </is>
      </c>
      <c r="X93" s="339" t="n">
        <v>13</v>
      </c>
      <c r="Y93" s="1199" t="inlineStr">
        <is>
          <t>中村</t>
        </is>
      </c>
      <c r="Z93" s="1119" t="n">
        <v>18</v>
      </c>
      <c r="AG93" s="1119" t="n"/>
    </row>
    <row r="94" ht="20.25" customHeight="1" s="1428" thickBot="1">
      <c r="A94" s="233" t="n">
        <v>38</v>
      </c>
      <c r="B94" s="88" t="inlineStr">
        <is>
          <t>3B</t>
        </is>
      </c>
      <c r="C94" s="89" t="inlineStr">
        <is>
          <t>中嶋</t>
        </is>
      </c>
      <c r="D94" s="100" t="inlineStr">
        <is>
          <t>佐藤</t>
        </is>
      </c>
      <c r="E94" s="324" t="n">
        <v>13</v>
      </c>
      <c r="F94" s="101" t="inlineStr">
        <is>
          <t>平井</t>
        </is>
      </c>
      <c r="G94" s="330" t="n">
        <v>18</v>
      </c>
      <c r="H94" s="101" t="inlineStr">
        <is>
          <t>野口</t>
        </is>
      </c>
      <c r="I94" s="330" t="n">
        <v>13</v>
      </c>
      <c r="J94" s="101" t="inlineStr">
        <is>
          <t>神田</t>
        </is>
      </c>
      <c r="K94" s="340" t="n">
        <v>13</v>
      </c>
      <c r="L94" s="216" t="inlineStr">
        <is>
          <t>中嶋</t>
        </is>
      </c>
      <c r="M94" s="1119" t="n">
        <v>15</v>
      </c>
      <c r="N94" s="234" t="n">
        <v>44</v>
      </c>
      <c r="O94" s="122" t="inlineStr">
        <is>
          <t>3B</t>
        </is>
      </c>
      <c r="P94" s="210" t="inlineStr">
        <is>
          <t>中村</t>
        </is>
      </c>
      <c r="Q94" s="100" t="inlineStr">
        <is>
          <t>馬渡</t>
        </is>
      </c>
      <c r="R94" s="324" t="n">
        <v>13</v>
      </c>
      <c r="S94" s="101" t="inlineStr">
        <is>
          <t>伊地知</t>
        </is>
      </c>
      <c r="T94" s="330" t="n">
        <v>18</v>
      </c>
      <c r="U94" s="101" t="inlineStr">
        <is>
          <t>右田</t>
        </is>
      </c>
      <c r="V94" s="330" t="n">
        <v>13</v>
      </c>
      <c r="W94" s="101" t="inlineStr">
        <is>
          <t>田代</t>
        </is>
      </c>
      <c r="X94" s="340" t="n">
        <v>13</v>
      </c>
      <c r="Y94" s="216" t="inlineStr">
        <is>
          <t>中村</t>
        </is>
      </c>
      <c r="Z94" s="1119" t="n">
        <v>15</v>
      </c>
      <c r="AG94" s="1119" t="n"/>
    </row>
    <row r="95" ht="20.25" customHeight="1" s="1428">
      <c r="A95" s="233" t="n">
        <v>20</v>
      </c>
      <c r="B95" s="76" t="inlineStr">
        <is>
          <t>2特</t>
        </is>
      </c>
      <c r="C95" s="75" t="inlineStr">
        <is>
          <t>神田</t>
        </is>
      </c>
      <c r="D95" s="217" t="inlineStr">
        <is>
          <t>長本</t>
        </is>
      </c>
      <c r="E95" s="325" t="n">
        <v>8</v>
      </c>
      <c r="F95" s="158" t="inlineStr">
        <is>
          <t>小野</t>
        </is>
      </c>
      <c r="G95" s="328" t="n">
        <v>13</v>
      </c>
      <c r="H95" s="158" t="inlineStr">
        <is>
          <t>佐藤</t>
        </is>
      </c>
      <c r="I95" s="328" t="n">
        <v>10</v>
      </c>
      <c r="J95" s="158" t="inlineStr">
        <is>
          <t>神田</t>
        </is>
      </c>
      <c r="K95" s="341" t="n">
        <v>11</v>
      </c>
      <c r="L95" s="166" t="inlineStr">
        <is>
          <t>中嶋</t>
        </is>
      </c>
      <c r="M95" s="1119" t="n">
        <v>16</v>
      </c>
      <c r="N95" s="234" t="n">
        <v>35</v>
      </c>
      <c r="O95" s="76" t="inlineStr">
        <is>
          <t>2特</t>
        </is>
      </c>
      <c r="P95" s="205" t="inlineStr">
        <is>
          <t>髙本</t>
        </is>
      </c>
      <c r="Q95" s="217" t="inlineStr">
        <is>
          <t>馬渡</t>
        </is>
      </c>
      <c r="R95" s="325" t="n">
        <v>8</v>
      </c>
      <c r="S95" s="158" t="inlineStr">
        <is>
          <t>髙本</t>
        </is>
      </c>
      <c r="T95" s="328" t="n">
        <v>13</v>
      </c>
      <c r="U95" s="158" t="inlineStr">
        <is>
          <t>倉光</t>
        </is>
      </c>
      <c r="V95" s="328" t="n">
        <v>10</v>
      </c>
      <c r="W95" s="158" t="inlineStr">
        <is>
          <t>田代</t>
        </is>
      </c>
      <c r="X95" s="341" t="n">
        <v>11</v>
      </c>
      <c r="Y95" s="166" t="inlineStr">
        <is>
          <t>中村</t>
        </is>
      </c>
      <c r="Z95" s="1119" t="n">
        <v>16</v>
      </c>
      <c r="AG95" s="1119" t="n"/>
    </row>
    <row r="96" ht="20.25" customHeight="1" s="1428" thickBot="1">
      <c r="A96" s="233" t="n">
        <v>23</v>
      </c>
      <c r="B96" s="122" t="inlineStr">
        <is>
          <t>2A</t>
        </is>
      </c>
      <c r="C96" s="89" t="inlineStr">
        <is>
          <t>野口</t>
        </is>
      </c>
      <c r="D96" s="100" t="inlineStr">
        <is>
          <t>佐藤</t>
        </is>
      </c>
      <c r="E96" s="324" t="n">
        <v>8</v>
      </c>
      <c r="F96" s="101" t="inlineStr">
        <is>
          <t>小野</t>
        </is>
      </c>
      <c r="G96" s="330" t="n">
        <v>12</v>
      </c>
      <c r="H96" s="101" t="inlineStr">
        <is>
          <t>野口</t>
        </is>
      </c>
      <c r="I96" s="330" t="n">
        <v>10</v>
      </c>
      <c r="J96" s="101" t="inlineStr">
        <is>
          <t>神田</t>
        </is>
      </c>
      <c r="K96" s="340" t="n">
        <v>9</v>
      </c>
      <c r="L96" s="216" t="inlineStr">
        <is>
          <t>中嶋</t>
        </is>
      </c>
      <c r="M96" s="1119" t="n">
        <v>12</v>
      </c>
      <c r="N96" s="234" t="n">
        <v>37</v>
      </c>
      <c r="O96" s="122" t="inlineStr">
        <is>
          <t>2A</t>
        </is>
      </c>
      <c r="P96" s="210" t="inlineStr">
        <is>
          <t>馬渡</t>
        </is>
      </c>
      <c r="Q96" s="100" t="inlineStr">
        <is>
          <t>馬渡</t>
        </is>
      </c>
      <c r="R96" s="324" t="n">
        <v>8</v>
      </c>
      <c r="S96" s="101" t="inlineStr">
        <is>
          <t>伊地知</t>
        </is>
      </c>
      <c r="T96" s="330" t="n">
        <v>12</v>
      </c>
      <c r="U96" s="101" t="inlineStr">
        <is>
          <t>倉光</t>
        </is>
      </c>
      <c r="V96" s="330" t="n">
        <v>10</v>
      </c>
      <c r="W96" s="101" t="inlineStr">
        <is>
          <t>田代</t>
        </is>
      </c>
      <c r="X96" s="340" t="n">
        <v>9</v>
      </c>
      <c r="Y96" s="216" t="inlineStr">
        <is>
          <t>中村</t>
        </is>
      </c>
      <c r="Z96" s="1119" t="n">
        <v>12</v>
      </c>
      <c r="AG96" s="1119" t="n"/>
    </row>
    <row r="97" ht="20.25" customHeight="1" s="1428">
      <c r="A97" s="233" t="n">
        <v>33</v>
      </c>
      <c r="B97" s="74" t="inlineStr">
        <is>
          <t>1A</t>
        </is>
      </c>
      <c r="C97" s="102" t="inlineStr">
        <is>
          <t>平井</t>
        </is>
      </c>
      <c r="D97" s="161" t="inlineStr">
        <is>
          <t>佐藤</t>
        </is>
      </c>
      <c r="E97" s="325" t="n">
        <v>7</v>
      </c>
      <c r="F97" s="158" t="inlineStr">
        <is>
          <t>小野</t>
        </is>
      </c>
      <c r="G97" s="328" t="n">
        <v>13</v>
      </c>
      <c r="H97" s="158" t="inlineStr">
        <is>
          <t>野口</t>
        </is>
      </c>
      <c r="I97" s="328" t="n">
        <v>7</v>
      </c>
      <c r="J97" s="158" t="inlineStr">
        <is>
          <t>平井</t>
        </is>
      </c>
      <c r="K97" s="287" t="n">
        <v>7</v>
      </c>
      <c r="L97" s="166" t="inlineStr">
        <is>
          <t>中嶋</t>
        </is>
      </c>
      <c r="M97" s="1119" t="n">
        <v>12</v>
      </c>
      <c r="N97" s="234" t="n">
        <v>33</v>
      </c>
      <c r="O97" s="76" t="inlineStr">
        <is>
          <t>1A</t>
        </is>
      </c>
      <c r="P97" s="205" t="inlineStr">
        <is>
          <t>中村</t>
        </is>
      </c>
      <c r="Q97" s="161" t="inlineStr">
        <is>
          <t>馬渡</t>
        </is>
      </c>
      <c r="R97" s="325" t="n">
        <v>7</v>
      </c>
      <c r="S97" s="158" t="inlineStr">
        <is>
          <t>伊地知</t>
        </is>
      </c>
      <c r="T97" s="328" t="n">
        <v>13</v>
      </c>
      <c r="U97" s="158" t="inlineStr">
        <is>
          <t>長本</t>
        </is>
      </c>
      <c r="V97" s="328" t="n">
        <v>7</v>
      </c>
      <c r="W97" s="158" t="inlineStr">
        <is>
          <t>田代</t>
        </is>
      </c>
      <c r="X97" s="341" t="n">
        <v>7</v>
      </c>
      <c r="Y97" s="166" t="inlineStr">
        <is>
          <t>中村</t>
        </is>
      </c>
      <c r="Z97" s="1119" t="n">
        <v>12</v>
      </c>
      <c r="AG97" s="1119" t="n"/>
    </row>
    <row r="98" ht="20.25" customHeight="1" s="1428" thickBot="1">
      <c r="A98" s="233" t="n">
        <v>23</v>
      </c>
      <c r="B98" s="83" t="inlineStr">
        <is>
          <t>1B</t>
        </is>
      </c>
      <c r="C98" s="103" t="inlineStr">
        <is>
          <t>中嶋</t>
        </is>
      </c>
      <c r="D98" s="84" t="inlineStr">
        <is>
          <t>長本</t>
        </is>
      </c>
      <c r="E98" s="326" t="n">
        <v>7</v>
      </c>
      <c r="F98" s="140" t="inlineStr">
        <is>
          <t>平井</t>
        </is>
      </c>
      <c r="G98" s="331" t="n">
        <v>10</v>
      </c>
      <c r="H98" s="140" t="inlineStr">
        <is>
          <t>佐藤</t>
        </is>
      </c>
      <c r="I98" s="331" t="n">
        <v>7</v>
      </c>
      <c r="J98" s="140" t="inlineStr">
        <is>
          <t>神田</t>
        </is>
      </c>
      <c r="K98" s="342" t="n">
        <v>7</v>
      </c>
      <c r="L98" s="162" t="inlineStr">
        <is>
          <t>中嶋</t>
        </is>
      </c>
      <c r="M98" s="1119" t="n">
        <v>10</v>
      </c>
      <c r="N98" s="234" t="n">
        <v>30</v>
      </c>
      <c r="O98" s="79" t="inlineStr">
        <is>
          <t>1B</t>
        </is>
      </c>
      <c r="P98" s="206" t="inlineStr">
        <is>
          <t>倉光</t>
        </is>
      </c>
      <c r="Q98" s="84" t="inlineStr">
        <is>
          <t>長本</t>
        </is>
      </c>
      <c r="R98" s="326" t="n">
        <v>7</v>
      </c>
      <c r="S98" s="140" t="inlineStr">
        <is>
          <t>伊地知</t>
        </is>
      </c>
      <c r="T98" s="331" t="n">
        <v>10</v>
      </c>
      <c r="U98" s="140" t="inlineStr">
        <is>
          <t>倉光</t>
        </is>
      </c>
      <c r="V98" s="331" t="n">
        <v>7</v>
      </c>
      <c r="W98" s="140" t="inlineStr">
        <is>
          <t>栗原</t>
        </is>
      </c>
      <c r="X98" s="259" t="n">
        <v>7</v>
      </c>
      <c r="Y98" s="162" t="inlineStr">
        <is>
          <t>中村</t>
        </is>
      </c>
      <c r="Z98" s="1119" t="n">
        <v>10</v>
      </c>
      <c r="AG98" s="1119" t="n"/>
    </row>
    <row r="99" ht="20.25" customHeight="1" s="1428" thickTop="1">
      <c r="A99" s="233" t="n"/>
      <c r="B99" s="252" t="inlineStr">
        <is>
          <t>クラス</t>
        </is>
      </c>
      <c r="C99" s="253" t="inlineStr">
        <is>
          <t>担任</t>
        </is>
      </c>
      <c r="D99" s="254" t="inlineStr">
        <is>
          <t>国語</t>
        </is>
      </c>
      <c r="E99" s="254" t="n"/>
      <c r="F99" s="255" t="inlineStr">
        <is>
          <t>算数</t>
        </is>
      </c>
      <c r="G99" s="255" t="n"/>
      <c r="H99" s="255" t="inlineStr">
        <is>
          <t>社会</t>
        </is>
      </c>
      <c r="I99" s="255" t="n"/>
      <c r="J99" s="256" t="inlineStr">
        <is>
          <t>理科</t>
        </is>
      </c>
      <c r="K99" s="289" t="n"/>
      <c r="L99" s="257" t="inlineStr">
        <is>
          <t>算数講座</t>
        </is>
      </c>
      <c r="M99" s="296" t="n"/>
      <c r="N99" s="234" t="n"/>
      <c r="O99" s="246" t="inlineStr">
        <is>
          <t>クラス</t>
        </is>
      </c>
      <c r="P99" s="247" t="inlineStr">
        <is>
          <t>担任</t>
        </is>
      </c>
      <c r="Q99" s="248" t="inlineStr">
        <is>
          <t>国語</t>
        </is>
      </c>
      <c r="R99" s="248" t="n"/>
      <c r="S99" s="249" t="inlineStr">
        <is>
          <t>算数</t>
        </is>
      </c>
      <c r="T99" s="249" t="n"/>
      <c r="U99" s="249" t="inlineStr">
        <is>
          <t>社会</t>
        </is>
      </c>
      <c r="V99" s="249" t="n"/>
      <c r="W99" s="250" t="inlineStr">
        <is>
          <t>理科</t>
        </is>
      </c>
      <c r="X99" s="312" t="n"/>
      <c r="Y99" s="251" t="inlineStr">
        <is>
          <t>算数講座</t>
        </is>
      </c>
      <c r="Z99" s="296" t="n"/>
    </row>
    <row r="100" ht="20.25" customHeight="1" s="1428">
      <c r="A100" s="233" t="n">
        <v>22</v>
      </c>
      <c r="B100" s="212" t="inlineStr">
        <is>
          <t>6受</t>
        </is>
      </c>
      <c r="C100" s="260" t="inlineStr">
        <is>
          <t>佐藤</t>
        </is>
      </c>
      <c r="D100" s="115" t="inlineStr">
        <is>
          <t>佐藤</t>
        </is>
      </c>
      <c r="E100" s="320" t="n">
        <v>17</v>
      </c>
      <c r="F100" s="45" t="inlineStr">
        <is>
          <t>小野</t>
        </is>
      </c>
      <c r="G100" s="329" t="n">
        <v>21</v>
      </c>
      <c r="H100" s="45" t="inlineStr">
        <is>
          <t>野口</t>
        </is>
      </c>
      <c r="I100" s="329" t="n">
        <v>16</v>
      </c>
      <c r="J100" s="45" t="inlineStr">
        <is>
          <t>神田</t>
        </is>
      </c>
      <c r="K100" s="337" t="n">
        <v>16</v>
      </c>
      <c r="L100" s="92" t="n"/>
      <c r="M100" s="297" t="n"/>
      <c r="N100" s="234" t="n">
        <v>24</v>
      </c>
      <c r="O100" s="212" t="inlineStr">
        <is>
          <t>6受</t>
        </is>
      </c>
      <c r="P100" s="112" t="inlineStr">
        <is>
          <t>馬渡</t>
        </is>
      </c>
      <c r="Q100" s="115" t="inlineStr">
        <is>
          <t>馬渡</t>
        </is>
      </c>
      <c r="R100" s="320" t="n">
        <v>17</v>
      </c>
      <c r="S100" s="45" t="inlineStr">
        <is>
          <t>髙本</t>
        </is>
      </c>
      <c r="T100" s="329" t="n">
        <v>21</v>
      </c>
      <c r="U100" s="45" t="inlineStr">
        <is>
          <t>右田</t>
        </is>
      </c>
      <c r="V100" s="337" t="n">
        <v>16</v>
      </c>
      <c r="W100" s="114" t="inlineStr">
        <is>
          <t>田代</t>
        </is>
      </c>
      <c r="X100" s="337" t="n">
        <v>16</v>
      </c>
      <c r="Y100" s="92" t="n"/>
      <c r="Z100" s="297" t="n"/>
    </row>
    <row r="101" ht="20.25" customHeight="1" s="1428" thickBot="1">
      <c r="A101" s="233" t="n">
        <v>28</v>
      </c>
      <c r="B101" s="72" t="inlineStr">
        <is>
          <t>6通</t>
        </is>
      </c>
      <c r="C101" s="104" t="inlineStr">
        <is>
          <t>野口</t>
        </is>
      </c>
      <c r="D101" s="164" t="inlineStr">
        <is>
          <t>副島</t>
        </is>
      </c>
      <c r="E101" s="321" t="n">
        <v>7</v>
      </c>
      <c r="F101" s="105" t="inlineStr">
        <is>
          <t>平井</t>
        </is>
      </c>
      <c r="G101" s="332" t="n">
        <v>9</v>
      </c>
      <c r="H101" s="105" t="inlineStr">
        <is>
          <t>野口</t>
        </is>
      </c>
      <c r="I101" s="332" t="n">
        <v>8</v>
      </c>
      <c r="J101" s="105" t="inlineStr">
        <is>
          <t>神田</t>
        </is>
      </c>
      <c r="K101" s="343" t="n">
        <v>8</v>
      </c>
      <c r="L101" s="86" t="n"/>
      <c r="M101" s="297" t="n"/>
      <c r="N101" s="234" t="n">
        <v>29</v>
      </c>
      <c r="O101" s="72" t="inlineStr">
        <is>
          <t>6通</t>
        </is>
      </c>
      <c r="P101" s="204" t="inlineStr">
        <is>
          <t>右田</t>
        </is>
      </c>
      <c r="Q101" s="164" t="inlineStr">
        <is>
          <t>馬渡</t>
        </is>
      </c>
      <c r="R101" s="321" t="n">
        <v>7</v>
      </c>
      <c r="S101" s="105" t="inlineStr">
        <is>
          <t>伊地知</t>
        </is>
      </c>
      <c r="T101" s="332" t="n">
        <v>9</v>
      </c>
      <c r="U101" s="105" t="inlineStr">
        <is>
          <t>右田</t>
        </is>
      </c>
      <c r="V101" s="332" t="n">
        <v>8</v>
      </c>
      <c r="W101" s="105" t="inlineStr">
        <is>
          <t>田代</t>
        </is>
      </c>
      <c r="X101" s="343" t="n">
        <v>8</v>
      </c>
      <c r="Y101" s="86" t="n"/>
      <c r="Z101" s="297" t="n"/>
    </row>
    <row r="102" ht="20.25" customHeight="1" s="1428" thickBot="1">
      <c r="A102" s="233" t="n">
        <v>45</v>
      </c>
      <c r="B102" s="72" t="inlineStr">
        <is>
          <t>5H</t>
        </is>
      </c>
      <c r="C102" s="104" t="inlineStr">
        <is>
          <t>佐藤</t>
        </is>
      </c>
      <c r="D102" s="164" t="inlineStr">
        <is>
          <t>副島</t>
        </is>
      </c>
      <c r="E102" s="321" t="n">
        <v>7</v>
      </c>
      <c r="F102" s="105" t="inlineStr">
        <is>
          <t>平井</t>
        </is>
      </c>
      <c r="G102" s="332" t="n">
        <v>7</v>
      </c>
      <c r="H102" s="105" t="inlineStr">
        <is>
          <t>佐藤</t>
        </is>
      </c>
      <c r="I102" s="332" t="n">
        <v>7</v>
      </c>
      <c r="J102" s="105" t="inlineStr">
        <is>
          <t>神田</t>
        </is>
      </c>
      <c r="K102" s="343" t="n">
        <v>7</v>
      </c>
      <c r="L102" s="157" t="inlineStr">
        <is>
          <t>平井</t>
        </is>
      </c>
      <c r="M102" s="334" t="n">
        <v>7</v>
      </c>
      <c r="N102" s="234" t="n">
        <v>53</v>
      </c>
      <c r="O102" s="72" t="inlineStr">
        <is>
          <t>5H</t>
        </is>
      </c>
      <c r="P102" s="204" t="inlineStr">
        <is>
          <t>伊地知</t>
        </is>
      </c>
      <c r="Q102" s="143" t="inlineStr">
        <is>
          <t>馬渡</t>
        </is>
      </c>
      <c r="R102" s="321" t="n">
        <v>7</v>
      </c>
      <c r="S102" s="105" t="inlineStr">
        <is>
          <t>伊地知</t>
        </is>
      </c>
      <c r="T102" s="332" t="n">
        <v>7</v>
      </c>
      <c r="U102" s="105" t="inlineStr">
        <is>
          <t>右田</t>
        </is>
      </c>
      <c r="V102" s="332" t="n">
        <v>7</v>
      </c>
      <c r="W102" s="105" t="inlineStr">
        <is>
          <t>田代</t>
        </is>
      </c>
      <c r="X102" s="343" t="n">
        <v>7</v>
      </c>
      <c r="Y102" s="157" t="inlineStr">
        <is>
          <t>伊地知</t>
        </is>
      </c>
      <c r="Z102" s="334" t="n">
        <v>7</v>
      </c>
    </row>
    <row r="103" ht="20.25" customHeight="1" s="1428" thickBot="1">
      <c r="A103" s="233" t="n">
        <v>8</v>
      </c>
      <c r="B103" s="106" t="inlineStr">
        <is>
          <t>4年</t>
        </is>
      </c>
      <c r="C103" s="107" t="inlineStr">
        <is>
          <t>平井</t>
        </is>
      </c>
      <c r="D103" s="142" t="inlineStr">
        <is>
          <t>佐藤</t>
        </is>
      </c>
      <c r="E103" s="322" t="n">
        <v>7</v>
      </c>
      <c r="F103" s="108" t="inlineStr">
        <is>
          <t>平井</t>
        </is>
      </c>
      <c r="G103" s="333" t="n">
        <v>7</v>
      </c>
      <c r="H103" s="132" t="inlineStr">
        <is>
          <t>●野口</t>
        </is>
      </c>
      <c r="I103" s="333" t="n">
        <v>3</v>
      </c>
      <c r="J103" s="132" t="inlineStr">
        <is>
          <t>●神田</t>
        </is>
      </c>
      <c r="K103" s="344" t="n">
        <v>3</v>
      </c>
      <c r="L103" s="215" t="inlineStr">
        <is>
          <t>中嶋</t>
        </is>
      </c>
      <c r="M103" s="334" t="n">
        <v>6</v>
      </c>
      <c r="N103" s="236" t="n"/>
      <c r="O103" s="106" t="inlineStr">
        <is>
          <t>4年</t>
        </is>
      </c>
      <c r="P103" s="167" t="inlineStr">
        <is>
          <t>伊地知</t>
        </is>
      </c>
      <c r="Q103" s="142" t="inlineStr">
        <is>
          <t>馬渡</t>
        </is>
      </c>
      <c r="R103" s="322" t="n">
        <v>7</v>
      </c>
      <c r="S103" s="108" t="inlineStr">
        <is>
          <t>伊地知</t>
        </is>
      </c>
      <c r="T103" s="333" t="n">
        <v>7</v>
      </c>
      <c r="U103" s="132" t="inlineStr">
        <is>
          <t>●倉光</t>
        </is>
      </c>
      <c r="V103" s="333" t="n">
        <v>3</v>
      </c>
      <c r="W103" s="132" t="inlineStr">
        <is>
          <t>●田代</t>
        </is>
      </c>
      <c r="X103" s="344" t="n">
        <v>3</v>
      </c>
      <c r="Y103" s="215" t="inlineStr">
        <is>
          <t>伊地知</t>
        </is>
      </c>
      <c r="Z103" s="334" t="n">
        <v>6</v>
      </c>
      <c r="AC103" s="318" t="inlineStr">
        <is>
          <t>allsum</t>
        </is>
      </c>
      <c r="AD103" s="319">
        <f>SUM(E81:E88,G81:G88,I81:I88,K81:K88,M81:M88,R81:R88,T81:T88,V81:V88,X81:X88,Z81:Z88,E93:E104,G93:G104,I93:I104,K93:K104,M93:M104,R93:R104,T93:T104,V93:V104,X93:X104,Z93:Z104)</f>
        <v/>
      </c>
    </row>
    <row r="104" ht="20.25" customHeight="1" s="1428" thickBot="1" thickTop="1">
      <c r="A104" s="233" t="n"/>
      <c r="B104" s="1175" t="inlineStr">
        <is>
          <t>5年特別講座</t>
        </is>
      </c>
      <c r="C104" s="1474" t="n"/>
      <c r="D104" s="261" t="inlineStr">
        <is>
          <t>社会</t>
        </is>
      </c>
      <c r="E104" s="240" t="n"/>
      <c r="F104" s="262" t="inlineStr">
        <is>
          <t>●野口</t>
        </is>
      </c>
      <c r="G104" s="335" t="n">
        <v>6</v>
      </c>
      <c r="H104" s="241" t="inlineStr">
        <is>
          <t>理科</t>
        </is>
      </c>
      <c r="I104" s="241" t="n"/>
      <c r="J104" s="263" t="inlineStr">
        <is>
          <t>●神田</t>
        </is>
      </c>
      <c r="K104" s="345" t="n">
        <v>6</v>
      </c>
      <c r="L104" s="86" t="n"/>
      <c r="M104" s="297" t="n"/>
      <c r="N104" s="234" t="n">
        <v>23</v>
      </c>
      <c r="O104" s="1175" t="inlineStr">
        <is>
          <t>5年特別講座</t>
        </is>
      </c>
      <c r="P104" s="1474" t="n"/>
      <c r="Q104" s="261" t="inlineStr">
        <is>
          <t>社会</t>
        </is>
      </c>
      <c r="R104" s="240" t="n"/>
      <c r="S104" s="165" t="inlineStr">
        <is>
          <t>●倉光</t>
        </is>
      </c>
      <c r="T104" s="332" t="n">
        <v>6</v>
      </c>
      <c r="U104" s="241" t="inlineStr">
        <is>
          <t>理科</t>
        </is>
      </c>
      <c r="V104" s="241" t="n"/>
      <c r="W104" s="165" t="inlineStr">
        <is>
          <t>●田代</t>
        </is>
      </c>
      <c r="X104" s="343" t="n">
        <v>6</v>
      </c>
      <c r="Y104" s="86" t="n"/>
      <c r="Z104" s="297" t="n"/>
    </row>
    <row r="105" ht="20.25" customHeight="1" s="1428">
      <c r="A105" s="233" t="n"/>
      <c r="L105" s="4" t="n"/>
      <c r="M105" s="10">
        <f>SUM(E93:E104,G93:G104,I93:I104,K93:K104,M93:M104)</f>
        <v/>
      </c>
      <c r="N105" s="155" t="n"/>
      <c r="Z105" s="10">
        <f>SUM(R93:R104,T93:T104,V93:V104,X93:X104,Z93:Z104)</f>
        <v/>
      </c>
    </row>
    <row r="106" ht="20.25" customHeight="1" s="1428">
      <c r="N106" s="155" t="n"/>
      <c r="O106" s="156" t="n"/>
    </row>
    <row r="107" ht="20.25" customHeight="1" s="1428">
      <c r="B107" s="1094" t="inlineStr">
        <is>
          <t>４．各教科担当者の授業回数　（★飛びがある教員、90コマの場合…1日平均4.3コマ)</t>
        </is>
      </c>
      <c r="Z107" s="1094" t="n"/>
    </row>
    <row r="108" ht="20.25" customFormat="1" customHeight="1" s="1080">
      <c r="B108" s="150" t="n"/>
    </row>
    <row r="109" ht="20.25" customHeight="1" s="1428">
      <c r="B109" s="1076" t="inlineStr">
        <is>
          <t>国語</t>
        </is>
      </c>
      <c r="C109" s="1475" t="n"/>
      <c r="D109" s="1465" t="n"/>
      <c r="E109" s="268" t="n"/>
      <c r="F109" s="1089" t="inlineStr">
        <is>
          <t>算数・数学</t>
        </is>
      </c>
      <c r="G109" s="1475" t="n"/>
      <c r="H109" s="1475" t="n"/>
      <c r="I109" s="1475" t="n"/>
      <c r="J109" s="1465" t="n"/>
      <c r="K109" s="268" t="n"/>
      <c r="L109" s="1091" t="inlineStr">
        <is>
          <t>社会</t>
        </is>
      </c>
      <c r="M109" s="1475" t="n"/>
      <c r="N109" s="1475" t="n"/>
      <c r="O109" s="1465" t="n"/>
      <c r="P109" s="1089" t="inlineStr">
        <is>
          <t>理科</t>
        </is>
      </c>
      <c r="Q109" s="1475" t="n"/>
      <c r="R109" s="1475" t="n"/>
      <c r="S109" s="1465" t="n"/>
      <c r="T109" s="268" t="n"/>
      <c r="U109" s="1091" t="inlineStr">
        <is>
          <t>英語</t>
        </is>
      </c>
      <c r="V109" s="1475" t="n"/>
      <c r="W109" s="1475" t="n"/>
      <c r="X109" s="1475" t="n"/>
      <c r="Y109" s="1465" t="n"/>
      <c r="Z109" s="265" t="n"/>
    </row>
    <row r="110" ht="20.25" customHeight="1" s="1428">
      <c r="B110" s="1076" t="inlineStr">
        <is>
          <t>教員名</t>
        </is>
      </c>
      <c r="C110" s="1076" t="inlineStr">
        <is>
          <t>計</t>
        </is>
      </c>
      <c r="D110" s="1095" t="inlineStr">
        <is>
          <t>他教科</t>
        </is>
      </c>
      <c r="E110" s="268" t="n"/>
      <c r="F110" s="1089" t="inlineStr">
        <is>
          <t>教員名</t>
        </is>
      </c>
      <c r="G110" s="1091" t="n"/>
      <c r="H110" s="1076" t="inlineStr">
        <is>
          <t>計</t>
        </is>
      </c>
      <c r="I110" s="1095" t="n"/>
      <c r="J110" s="1090" t="inlineStr">
        <is>
          <t>他教科</t>
        </is>
      </c>
      <c r="K110" s="268" t="n"/>
      <c r="L110" s="1091" t="inlineStr">
        <is>
          <t>教員名</t>
        </is>
      </c>
      <c r="M110" s="1091" t="n"/>
      <c r="N110" s="1076" t="inlineStr">
        <is>
          <t>計</t>
        </is>
      </c>
      <c r="O110" s="1095" t="inlineStr">
        <is>
          <t>他教科</t>
        </is>
      </c>
      <c r="P110" s="1089" t="inlineStr">
        <is>
          <t>教員名</t>
        </is>
      </c>
      <c r="Q110" s="1076" t="inlineStr">
        <is>
          <t>計</t>
        </is>
      </c>
      <c r="R110" s="1095" t="n"/>
      <c r="S110" s="1090" t="inlineStr">
        <is>
          <t>他教科</t>
        </is>
      </c>
      <c r="T110" s="268" t="n"/>
      <c r="U110" s="1091" t="inlineStr">
        <is>
          <t>教員名</t>
        </is>
      </c>
      <c r="V110" s="1091" t="n"/>
      <c r="W110" s="1076" t="inlineStr">
        <is>
          <t>計</t>
        </is>
      </c>
      <c r="X110" s="1076" t="n"/>
      <c r="Y110" s="1076" t="inlineStr">
        <is>
          <t>他教科</t>
        </is>
      </c>
      <c r="Z110" s="265" t="n"/>
    </row>
    <row r="111" ht="20.25" customFormat="1" customHeight="1" s="124">
      <c r="B111" s="45" t="inlineStr">
        <is>
          <t>馬渡</t>
        </is>
      </c>
      <c r="C111" s="45">
        <f>R93+R94+R95+R96+R97+R100+R101+R102+R103</f>
        <v/>
      </c>
      <c r="D111" s="112" t="n"/>
      <c r="E111" s="238" t="n"/>
      <c r="F111" s="113" t="inlineStr">
        <is>
          <t>髙本</t>
        </is>
      </c>
      <c r="G111" s="113">
        <f>T93+T95+T100</f>
        <v/>
      </c>
      <c r="H111" s="45" t="n"/>
      <c r="I111" s="114" t="n"/>
      <c r="J111" s="112" t="n"/>
      <c r="K111" s="238" t="n"/>
      <c r="L111" s="113" t="inlineStr">
        <is>
          <t>藤田</t>
        </is>
      </c>
      <c r="M111" s="113">
        <f>I81+I84+V81</f>
        <v/>
      </c>
      <c r="N111" s="45" t="n"/>
      <c r="O111" s="114" t="n"/>
      <c r="P111" s="115" t="inlineStr">
        <is>
          <t>神田</t>
        </is>
      </c>
      <c r="Q111" s="45">
        <f>K93+K94+K95+K96+K98+K100+K101+K102+K103+K104</f>
        <v/>
      </c>
      <c r="R111" s="114" t="n"/>
      <c r="S111" s="112" t="n"/>
      <c r="T111" s="238" t="n"/>
      <c r="U111" s="113" t="inlineStr">
        <is>
          <t>館長</t>
        </is>
      </c>
      <c r="V111" s="348" t="n">
        <v>10</v>
      </c>
      <c r="W111" s="45" t="n"/>
      <c r="X111" s="45" t="n"/>
      <c r="Y111" s="45" t="n"/>
      <c r="Z111" s="1119" t="n"/>
    </row>
    <row r="112" ht="20.25" customFormat="1" customHeight="1" s="124">
      <c r="B112" s="8" t="inlineStr">
        <is>
          <t>日高</t>
        </is>
      </c>
      <c r="C112" s="8">
        <f>E81+E82+R81+R82+R83+R84+R85+R86+R87</f>
        <v/>
      </c>
      <c r="D112" s="91" t="n"/>
      <c r="E112" s="269" t="n"/>
      <c r="F112" s="113" t="inlineStr">
        <is>
          <t>小野</t>
        </is>
      </c>
      <c r="G112" s="113">
        <f>G93+G95+G96+G97+G100</f>
        <v/>
      </c>
      <c r="H112" s="45" t="n"/>
      <c r="I112" s="114" t="n"/>
      <c r="J112" s="112" t="n"/>
      <c r="K112" s="238" t="n"/>
      <c r="L112" s="113" t="inlineStr">
        <is>
          <t>野口</t>
        </is>
      </c>
      <c r="M112" s="113">
        <f>I93+I94+I96+I97+I100+I101+I103+G104</f>
        <v/>
      </c>
      <c r="N112" s="45" t="n"/>
      <c r="O112" s="114" t="n"/>
      <c r="P112" s="115" t="inlineStr">
        <is>
          <t>田代</t>
        </is>
      </c>
      <c r="Q112" s="45">
        <f>X93+X94+X95+X96+X97+X100+X101+X102+X103+X104</f>
        <v/>
      </c>
      <c r="R112" s="114" t="n"/>
      <c r="S112" s="133" t="n"/>
      <c r="T112" s="299" t="n"/>
      <c r="U112" s="113" t="inlineStr">
        <is>
          <t>中村</t>
        </is>
      </c>
      <c r="V112" s="113">
        <f>Z93+Z94+Z95+Z96+Z97+Z98</f>
        <v/>
      </c>
      <c r="W112" s="45" t="n"/>
      <c r="X112" s="45" t="n"/>
      <c r="Y112" s="45" t="n"/>
      <c r="Z112" s="1119" t="n"/>
    </row>
    <row r="113" ht="20.25" customFormat="1" customHeight="1" s="124">
      <c r="B113" s="45" t="inlineStr">
        <is>
          <t>★副島</t>
        </is>
      </c>
      <c r="C113" s="45">
        <f>E83+E85+E86+E87+E101+E102</f>
        <v/>
      </c>
      <c r="D113" s="112" t="inlineStr">
        <is>
          <t>社7</t>
        </is>
      </c>
      <c r="E113" s="238" t="n"/>
      <c r="F113" s="113" t="inlineStr">
        <is>
          <t>黒岩</t>
        </is>
      </c>
      <c r="G113" s="113">
        <f>G81+G84+G87+T81</f>
        <v/>
      </c>
      <c r="H113" s="45" t="n"/>
      <c r="I113" s="114" t="n"/>
      <c r="J113" s="112" t="n"/>
      <c r="K113" s="238" t="n"/>
      <c r="L113" s="8" t="inlineStr">
        <is>
          <t>★長本</t>
        </is>
      </c>
      <c r="M113" s="113">
        <f>I86+V83+V85+V86+V87+V97</f>
        <v/>
      </c>
      <c r="N113" s="45" t="inlineStr">
        <is>
          <t>国37</t>
        </is>
      </c>
      <c r="O113" s="112" t="n"/>
      <c r="P113" s="315" t="inlineStr">
        <is>
          <t>和久</t>
        </is>
      </c>
      <c r="Q113" s="45">
        <f>K81+K84+X81</f>
        <v/>
      </c>
      <c r="R113" s="45" t="n"/>
      <c r="S113" s="133" t="n"/>
      <c r="T113" s="299" t="n"/>
      <c r="U113" s="113" t="inlineStr">
        <is>
          <t>中嶋</t>
        </is>
      </c>
      <c r="V113" s="113">
        <f>M93+M94+M95+M96+M97+M98</f>
        <v/>
      </c>
      <c r="W113" s="45" t="inlineStr">
        <is>
          <t>数6</t>
        </is>
      </c>
      <c r="X113" s="45" t="n"/>
      <c r="Y113" s="45" t="n"/>
      <c r="Z113" s="1119" t="n"/>
    </row>
    <row r="114" ht="20.25" customFormat="1" customHeight="1" s="124">
      <c r="B114" s="45" t="inlineStr">
        <is>
          <t>佐藤</t>
        </is>
      </c>
      <c r="C114" s="45">
        <f>E93+E94+E96+E97+E100+E103</f>
        <v/>
      </c>
      <c r="D114" s="112" t="inlineStr">
        <is>
          <t>社24</t>
        </is>
      </c>
      <c r="E114" s="238" t="n"/>
      <c r="F114" s="113" t="inlineStr">
        <is>
          <t>伊地知</t>
        </is>
      </c>
      <c r="G114" s="113">
        <f>T94+T96+T97+T98+T101+T102+T103+Z102+Z103</f>
        <v/>
      </c>
      <c r="H114" s="45" t="n"/>
      <c r="I114" s="114" t="n"/>
      <c r="J114" s="112" t="n"/>
      <c r="K114" s="114" t="n"/>
      <c r="L114" s="45" t="inlineStr">
        <is>
          <t>右田</t>
        </is>
      </c>
      <c r="M114" s="45">
        <f>V93+V94+V100+V101+V102</f>
        <v/>
      </c>
      <c r="N114" s="45" t="n"/>
      <c r="O114" s="114" t="n"/>
      <c r="P114" s="315" t="inlineStr">
        <is>
          <t>平野</t>
        </is>
      </c>
      <c r="Q114" s="45">
        <f>X82+X83+X84+X85+X88+K82</f>
        <v/>
      </c>
      <c r="R114" s="45" t="inlineStr">
        <is>
          <t>数31</t>
        </is>
      </c>
      <c r="S114" s="112" t="n"/>
      <c r="T114" s="238" t="n"/>
      <c r="U114" s="113" t="inlineStr">
        <is>
          <t>堀</t>
        </is>
      </c>
      <c r="V114" s="113">
        <f>M83+M85+M86+M87+M88</f>
        <v/>
      </c>
      <c r="W114" s="45" t="inlineStr">
        <is>
          <t>数16</t>
        </is>
      </c>
      <c r="X114" s="45" t="n"/>
      <c r="Y114" s="45" t="n"/>
      <c r="Z114" s="1119" t="n"/>
    </row>
    <row r="115" ht="20.25" customFormat="1" customHeight="1" s="124">
      <c r="B115" s="8" t="inlineStr">
        <is>
          <t>★長本</t>
        </is>
      </c>
      <c r="C115" s="8">
        <f>E84+E88+E95+E98+R98</f>
        <v/>
      </c>
      <c r="D115" s="91" t="inlineStr">
        <is>
          <t>社38</t>
        </is>
      </c>
      <c r="E115" s="269" t="n"/>
      <c r="F115" s="113" t="inlineStr">
        <is>
          <t>平井</t>
        </is>
      </c>
      <c r="G115" s="113">
        <f>G94+G98+G101+G102+G103+M102</f>
        <v/>
      </c>
      <c r="H115" s="45" t="inlineStr">
        <is>
          <t>理7</t>
        </is>
      </c>
      <c r="I115" s="114" t="n"/>
      <c r="J115" s="112" t="n"/>
      <c r="K115" s="238" t="n"/>
      <c r="L115" s="113" t="inlineStr">
        <is>
          <t>岡野</t>
        </is>
      </c>
      <c r="M115" s="113">
        <f>I82+I83+I85+I87+V82+V84+T88</f>
        <v/>
      </c>
      <c r="N115" s="45" t="n"/>
      <c r="O115" s="112" t="n"/>
      <c r="P115" s="315" t="inlineStr">
        <is>
          <t>★栗原</t>
        </is>
      </c>
      <c r="Q115" s="317">
        <f>K83+K85+K86+K88+X86+X87+X98+K87</f>
        <v/>
      </c>
      <c r="R115" s="316" t="n"/>
      <c r="S115" s="112" t="n"/>
      <c r="T115" s="238" t="n"/>
      <c r="U115" s="115" t="inlineStr">
        <is>
          <t>土井下</t>
        </is>
      </c>
      <c r="V115" s="113">
        <f>M81+M82+M84</f>
        <v/>
      </c>
      <c r="W115" s="45" t="n"/>
      <c r="X115" s="45" t="n"/>
      <c r="Y115" s="45" t="n"/>
      <c r="Z115" s="1119" t="n"/>
    </row>
    <row r="116" ht="20.25" customFormat="1" customHeight="1" s="124">
      <c r="B116" s="45" t="n"/>
      <c r="C116" s="45" t="n"/>
      <c r="D116" s="112" t="n"/>
      <c r="E116" s="238" t="n"/>
      <c r="F116" s="116" t="inlineStr">
        <is>
          <t>柿木</t>
        </is>
      </c>
      <c r="G116" s="116">
        <f>G82+G83+G86+T82+T84+T86+T87+Z84</f>
        <v/>
      </c>
      <c r="H116" s="45" t="n"/>
      <c r="I116" s="114" t="n"/>
      <c r="J116" s="112" t="n"/>
      <c r="K116" s="238" t="n"/>
      <c r="L116" s="115" t="inlineStr">
        <is>
          <t>佐藤</t>
        </is>
      </c>
      <c r="M116" s="113">
        <f>I95+I98+I102</f>
        <v/>
      </c>
      <c r="N116" s="45" t="inlineStr">
        <is>
          <t>国65</t>
        </is>
      </c>
      <c r="O116" s="112" t="n"/>
      <c r="P116" s="315" t="inlineStr">
        <is>
          <t>平井</t>
        </is>
      </c>
      <c r="Q116" s="45">
        <f>K97</f>
        <v/>
      </c>
      <c r="R116" s="45" t="inlineStr">
        <is>
          <t>数58</t>
        </is>
      </c>
      <c r="S116" s="112" t="n"/>
      <c r="T116" s="238" t="n"/>
      <c r="U116" s="113" t="n"/>
      <c r="V116" s="113" t="n"/>
      <c r="W116" s="45" t="n"/>
      <c r="X116" s="45" t="n"/>
      <c r="Y116" s="45" t="n"/>
      <c r="Z116" s="1119" t="n"/>
    </row>
    <row r="117" ht="20.25" customFormat="1" customHeight="1" s="124">
      <c r="B117" s="45" t="n"/>
      <c r="C117" s="45" t="n"/>
      <c r="D117" s="112" t="n"/>
      <c r="E117" s="238" t="n"/>
      <c r="F117" s="113" t="inlineStr">
        <is>
          <t>堀</t>
        </is>
      </c>
      <c r="G117" s="113">
        <f>T85+T83</f>
        <v/>
      </c>
      <c r="H117" s="45" t="inlineStr">
        <is>
          <t>英61</t>
        </is>
      </c>
      <c r="I117" s="114" t="n"/>
      <c r="J117" s="112" t="n"/>
      <c r="K117" s="238" t="n"/>
      <c r="L117" s="115" t="inlineStr">
        <is>
          <t>倉光</t>
        </is>
      </c>
      <c r="M117" s="113">
        <f>V95+V96+V98+V103+T104</f>
        <v/>
      </c>
      <c r="N117" s="45" t="n"/>
      <c r="O117" s="112" t="n"/>
      <c r="Q117" s="316" t="n"/>
      <c r="R117" s="316" t="n"/>
      <c r="S117" s="154" t="n"/>
      <c r="T117" s="300" t="n"/>
      <c r="U117" s="113" t="n"/>
      <c r="V117" s="113" t="n"/>
      <c r="W117" s="45" t="n"/>
      <c r="X117" s="45" t="n"/>
      <c r="Y117" s="45" t="n"/>
      <c r="Z117" s="1119" t="n"/>
    </row>
    <row r="118" ht="20.25" customFormat="1" customHeight="1" s="124">
      <c r="B118" s="8" t="n"/>
      <c r="C118" s="8" t="n"/>
      <c r="D118" s="91" t="n"/>
      <c r="E118" s="269" t="n"/>
      <c r="F118" s="116" t="inlineStr">
        <is>
          <t>平野</t>
        </is>
      </c>
      <c r="G118" s="116">
        <f>G85+Z86+G88</f>
        <v/>
      </c>
      <c r="H118" s="45" t="inlineStr">
        <is>
          <t>理57</t>
        </is>
      </c>
      <c r="I118" s="114" t="n"/>
      <c r="J118" s="112" t="n"/>
      <c r="K118" s="238" t="n"/>
      <c r="L118" s="45" t="inlineStr">
        <is>
          <t>★副島</t>
        </is>
      </c>
      <c r="M118" s="113">
        <f>I88</f>
        <v/>
      </c>
      <c r="N118" s="45" t="inlineStr">
        <is>
          <t>国50</t>
        </is>
      </c>
      <c r="O118" s="154" t="n"/>
      <c r="P118" s="315" t="n"/>
      <c r="Q118" s="45" t="n"/>
      <c r="R118" s="45" t="n"/>
      <c r="S118" s="112" t="n"/>
      <c r="T118" s="238" t="n"/>
      <c r="U118" s="113" t="n"/>
      <c r="V118" s="113" t="n"/>
      <c r="W118" s="45" t="n"/>
      <c r="X118" s="45" t="n"/>
      <c r="Y118" s="45" t="n"/>
      <c r="Z118" s="1119" t="n"/>
    </row>
    <row r="119" ht="20.25" customFormat="1" customHeight="1" s="124">
      <c r="B119" s="8" t="inlineStr">
        <is>
          <t> </t>
        </is>
      </c>
      <c r="C119" s="8" t="inlineStr">
        <is>
          <t> </t>
        </is>
      </c>
      <c r="D119" s="91" t="inlineStr">
        <is>
          <t> </t>
        </is>
      </c>
      <c r="E119" s="269" t="n"/>
      <c r="F119" s="116" t="inlineStr">
        <is>
          <t>中嶋</t>
        </is>
      </c>
      <c r="G119" s="116">
        <f>M103</f>
        <v/>
      </c>
      <c r="H119" s="45" t="inlineStr">
        <is>
          <t>英83</t>
        </is>
      </c>
      <c r="I119" s="114" t="n"/>
      <c r="J119" s="112" t="n"/>
      <c r="K119" s="238" t="n"/>
      <c r="L119" s="144" t="n"/>
      <c r="M119" s="298" t="n"/>
      <c r="N119" s="45" t="n"/>
      <c r="O119" s="112" t="n"/>
      <c r="P119" s="117" t="n"/>
      <c r="Q119" s="8" t="n"/>
      <c r="R119" s="290" t="n"/>
      <c r="S119" s="91" t="n"/>
      <c r="T119" s="269" t="n"/>
      <c r="U119" s="116" t="n"/>
      <c r="V119" s="116" t="n"/>
      <c r="W119" s="8" t="n"/>
      <c r="X119" s="8" t="n"/>
      <c r="Y119" s="8" t="n"/>
      <c r="Z119" s="10" t="n"/>
    </row>
    <row r="120" ht="20.25" customFormat="1" customHeight="1" s="124">
      <c r="B120" s="8" t="inlineStr">
        <is>
          <t> </t>
        </is>
      </c>
      <c r="C120" s="8" t="inlineStr">
        <is>
          <t> </t>
        </is>
      </c>
      <c r="D120" s="91" t="inlineStr">
        <is>
          <t> </t>
        </is>
      </c>
      <c r="E120" s="269" t="n"/>
      <c r="F120" s="116" t="n"/>
      <c r="G120" s="116" t="n"/>
      <c r="H120" s="45" t="n"/>
      <c r="I120" s="114" t="n"/>
      <c r="J120" s="91" t="n"/>
      <c r="K120" s="290" t="n"/>
      <c r="L120" s="45" t="n"/>
      <c r="M120" s="45" t="n"/>
      <c r="N120" s="45" t="n"/>
      <c r="O120" s="114" t="n"/>
      <c r="P120" s="117" t="n"/>
      <c r="Q120" s="8" t="n"/>
      <c r="R120" s="290" t="n"/>
      <c r="S120" s="91" t="n"/>
      <c r="T120" s="269" t="n"/>
      <c r="U120" s="116" t="n"/>
      <c r="V120" s="116" t="n"/>
      <c r="W120" s="8" t="n"/>
      <c r="X120" s="8" t="n"/>
      <c r="Y120" s="8" t="n"/>
      <c r="Z120" s="10" t="n"/>
    </row>
    <row r="121" ht="20.25" customFormat="1" customHeight="1" s="124" thickBot="1">
      <c r="B121" s="82" t="n">
        <v>356</v>
      </c>
      <c r="C121" s="141">
        <f>SUM(C111:C120)</f>
        <v/>
      </c>
      <c r="D121" s="151" t="n"/>
      <c r="E121" s="270" t="n"/>
      <c r="F121" s="81">
        <f>556-32</f>
        <v/>
      </c>
      <c r="G121" s="141">
        <f>SUM(G111:G120)</f>
        <v/>
      </c>
      <c r="I121" s="277" t="n"/>
      <c r="J121" s="80" t="inlineStr">
        <is>
          <t> </t>
        </is>
      </c>
      <c r="K121" s="152" t="n"/>
      <c r="L121" s="82">
        <f>383-6</f>
        <v/>
      </c>
      <c r="M121" s="141">
        <f>SUM(M111:M120)</f>
        <v/>
      </c>
      <c r="O121" s="152" t="n"/>
      <c r="P121" s="153">
        <f>385-11</f>
        <v/>
      </c>
      <c r="Q121" s="141">
        <f>SUM(Q111:Q120)</f>
        <v/>
      </c>
      <c r="R121" s="277" t="n"/>
      <c r="S121" s="80" t="n"/>
      <c r="T121" s="301" t="n"/>
      <c r="U121" s="81">
        <f>302-14</f>
        <v/>
      </c>
      <c r="V121" s="141">
        <f>SUM(V112:V120)</f>
        <v/>
      </c>
      <c r="W121" s="347" t="inlineStr">
        <is>
          <t>←館長除く</t>
        </is>
      </c>
      <c r="X121" s="141" t="n"/>
      <c r="Z121" s="314" t="n"/>
    </row>
    <row r="122" ht="14.25" customHeight="1" s="1428" thickTop="1"/>
    <row r="125">
      <c r="C125" s="319">
        <f>C121+G121+M121+Q121+V121</f>
        <v/>
      </c>
    </row>
  </sheetData>
  <mergeCells count="68">
    <mergeCell ref="F40:F41"/>
    <mergeCell ref="W40:W41"/>
    <mergeCell ref="B91:L91"/>
    <mergeCell ref="P38:P39"/>
    <mergeCell ref="O15:Q21"/>
    <mergeCell ref="B43:B44"/>
    <mergeCell ref="H43:H44"/>
    <mergeCell ref="U109:Y109"/>
    <mergeCell ref="Y1:AA1"/>
    <mergeCell ref="Q42:Q43"/>
    <mergeCell ref="B107:Y107"/>
    <mergeCell ref="S42:S43"/>
    <mergeCell ref="C48:AA48"/>
    <mergeCell ref="P40:P41"/>
    <mergeCell ref="B1:S1"/>
    <mergeCell ref="H40:H41"/>
    <mergeCell ref="L43:L44"/>
    <mergeCell ref="J40:J41"/>
    <mergeCell ref="O44:O45"/>
    <mergeCell ref="Q38:Q39"/>
    <mergeCell ref="Y25:AB31"/>
    <mergeCell ref="S38:S39"/>
    <mergeCell ref="D40:D41"/>
    <mergeCell ref="C55:D55"/>
    <mergeCell ref="O88:P88"/>
    <mergeCell ref="H5:H7"/>
    <mergeCell ref="C40:C41"/>
    <mergeCell ref="O40:O41"/>
    <mergeCell ref="C47:Y47"/>
    <mergeCell ref="P109:S109"/>
    <mergeCell ref="Q40:Q41"/>
    <mergeCell ref="N19:N20"/>
    <mergeCell ref="S40:S41"/>
    <mergeCell ref="O33:AA33"/>
    <mergeCell ref="AB15:AB21"/>
    <mergeCell ref="N25:O31"/>
    <mergeCell ref="C43:C44"/>
    <mergeCell ref="P25:Q31"/>
    <mergeCell ref="D43:D44"/>
    <mergeCell ref="U1:W1"/>
    <mergeCell ref="S15:AA21"/>
    <mergeCell ref="F43:F44"/>
    <mergeCell ref="F109:J109"/>
    <mergeCell ref="B47:B53"/>
    <mergeCell ref="O104:P104"/>
    <mergeCell ref="O42:O43"/>
    <mergeCell ref="U42:U43"/>
    <mergeCell ref="B78:AA78"/>
    <mergeCell ref="W42:W43"/>
    <mergeCell ref="B109:D109"/>
    <mergeCell ref="B34:AA34"/>
    <mergeCell ref="L40:L41"/>
    <mergeCell ref="J43:J44"/>
    <mergeCell ref="F5:F11"/>
    <mergeCell ref="O79:Y79"/>
    <mergeCell ref="B104:C104"/>
    <mergeCell ref="U38:U39"/>
    <mergeCell ref="W38:W39"/>
    <mergeCell ref="O91:Y91"/>
    <mergeCell ref="H55:J55"/>
    <mergeCell ref="O38:O39"/>
    <mergeCell ref="P42:P43"/>
    <mergeCell ref="P89:Q89"/>
    <mergeCell ref="L109:O109"/>
    <mergeCell ref="Q55:S55"/>
    <mergeCell ref="N55:O55"/>
    <mergeCell ref="B79:L79"/>
    <mergeCell ref="U40:U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view="pageBreakPreview" topLeftCell="A10" zoomScale="85" zoomScaleNormal="85" zoomScaleSheetLayoutView="85" workbookViewId="0">
      <selection activeCell="H36" sqref="H36"/>
    </sheetView>
  </sheetViews>
  <sheetFormatPr baseColWidth="8" defaultColWidth="9" defaultRowHeight="13.5"/>
  <cols>
    <col width="4.875" customWidth="1" style="677" min="1" max="1"/>
    <col width="7" customWidth="1" style="677" min="2" max="7"/>
    <col width="7" customWidth="1" style="700" min="8" max="8"/>
    <col width="7" customWidth="1" style="677" min="9" max="18"/>
    <col width="9" customWidth="1" style="677" min="19" max="16384"/>
  </cols>
  <sheetData>
    <row r="1" ht="29.25" customFormat="1" customHeight="1" s="674">
      <c r="B1" s="1332" t="inlineStr">
        <is>
          <t>R6年度　夏期講座　時間割</t>
        </is>
      </c>
      <c r="N1" s="1333" t="inlineStr">
        <is>
          <t>更新日</t>
        </is>
      </c>
      <c r="P1" s="1335" t="n"/>
      <c r="R1" s="1335" t="n"/>
    </row>
    <row r="2" ht="16.15" customHeight="1" s="1428">
      <c r="B2" s="675" t="inlineStr">
        <is>
          <t>１．スケジュール</t>
        </is>
      </c>
      <c r="C2" s="676" t="n"/>
      <c r="D2" s="676" t="n"/>
      <c r="F2" s="678" t="n">
        <v>3</v>
      </c>
      <c r="G2" s="678" t="n">
        <v>6</v>
      </c>
      <c r="H2" s="678" t="n">
        <v>6</v>
      </c>
      <c r="I2" s="678" t="n">
        <v>6</v>
      </c>
      <c r="J2" s="678" t="n">
        <v>6</v>
      </c>
      <c r="K2" s="678" t="n">
        <v>6</v>
      </c>
      <c r="L2" s="678" t="n">
        <v>6</v>
      </c>
      <c r="M2" s="678" t="n">
        <v>6</v>
      </c>
      <c r="N2" s="678" t="n">
        <v>6</v>
      </c>
      <c r="O2" s="678" t="n">
        <v>6</v>
      </c>
      <c r="P2" s="678" t="n">
        <v>6</v>
      </c>
      <c r="Q2" s="678" t="n">
        <v>6</v>
      </c>
      <c r="R2" s="679" t="n">
        <v>6</v>
      </c>
    </row>
    <row r="3" ht="13.15" customFormat="1" customHeight="1" s="685">
      <c r="B3" s="1244" t="inlineStr">
        <is>
          <t>日付</t>
        </is>
      </c>
      <c r="C3" s="1499" t="n">
        <v>45123</v>
      </c>
      <c r="D3" s="1245" t="n">
        <v>17</v>
      </c>
      <c r="E3" s="1244" t="n">
        <v>18</v>
      </c>
      <c r="F3" s="1244" t="n">
        <v>19</v>
      </c>
      <c r="G3" s="1244" t="n">
        <v>20</v>
      </c>
      <c r="H3" s="683" t="n">
        <v>21</v>
      </c>
      <c r="I3" s="1244" t="n">
        <v>22</v>
      </c>
      <c r="J3" s="1244" t="n">
        <v>23</v>
      </c>
      <c r="K3" s="1244" t="n">
        <v>24</v>
      </c>
      <c r="L3" s="1244" t="n">
        <v>25</v>
      </c>
      <c r="M3" s="1244" t="n">
        <v>26</v>
      </c>
      <c r="N3" s="1244" t="n">
        <v>27</v>
      </c>
      <c r="O3" s="683" t="n">
        <v>28</v>
      </c>
      <c r="P3" s="1244" t="n">
        <v>29</v>
      </c>
      <c r="Q3" s="1244" t="n">
        <v>30</v>
      </c>
      <c r="R3" s="684" t="n">
        <v>31</v>
      </c>
    </row>
    <row r="4" ht="13.15" customFormat="1" customHeight="1" s="685">
      <c r="B4" s="1244" t="inlineStr">
        <is>
          <t>曜日</t>
        </is>
      </c>
      <c r="C4" s="1244" t="inlineStr">
        <is>
          <t>火</t>
        </is>
      </c>
      <c r="D4" s="1244" t="inlineStr">
        <is>
          <t>水</t>
        </is>
      </c>
      <c r="E4" s="1244" t="inlineStr">
        <is>
          <t>木</t>
        </is>
      </c>
      <c r="F4" s="1244" t="inlineStr">
        <is>
          <t>金</t>
        </is>
      </c>
      <c r="G4" s="1244" t="inlineStr">
        <is>
          <t>土</t>
        </is>
      </c>
      <c r="H4" s="683" t="inlineStr">
        <is>
          <t>日</t>
        </is>
      </c>
      <c r="I4" s="1244" t="inlineStr">
        <is>
          <t>月</t>
        </is>
      </c>
      <c r="J4" s="1244" t="inlineStr">
        <is>
          <t>火</t>
        </is>
      </c>
      <c r="K4" s="1244" t="inlineStr">
        <is>
          <t>水</t>
        </is>
      </c>
      <c r="L4" s="1244" t="inlineStr">
        <is>
          <t>木</t>
        </is>
      </c>
      <c r="M4" s="1244" t="inlineStr">
        <is>
          <t>金</t>
        </is>
      </c>
      <c r="N4" s="1244" t="inlineStr">
        <is>
          <t>土</t>
        </is>
      </c>
      <c r="O4" s="683" t="inlineStr">
        <is>
          <t>日</t>
        </is>
      </c>
      <c r="P4" s="1244" t="inlineStr">
        <is>
          <t>月</t>
        </is>
      </c>
      <c r="Q4" s="1244" t="inlineStr">
        <is>
          <t>火</t>
        </is>
      </c>
      <c r="R4" s="1244" t="inlineStr">
        <is>
          <t>水</t>
        </is>
      </c>
    </row>
    <row r="5" ht="13.15" customFormat="1" customHeight="1" s="685">
      <c r="B5" s="686" t="inlineStr">
        <is>
          <t>Ⅰ</t>
        </is>
      </c>
      <c r="C5" s="686" t="n"/>
      <c r="D5" s="686" t="n"/>
      <c r="E5" s="693" t="inlineStr">
        <is>
          <t>中3集合？</t>
        </is>
      </c>
      <c r="F5" s="1302" t="inlineStr">
        <is>
          <t>1学期
終業式</t>
        </is>
      </c>
      <c r="G5" s="686" t="n"/>
      <c r="H5" s="686" t="n"/>
      <c r="I5" s="686" t="n"/>
      <c r="J5" s="686" t="n"/>
      <c r="K5" s="686" t="n"/>
      <c r="L5" s="686" t="n"/>
      <c r="M5" s="686" t="n"/>
      <c r="N5" s="686" t="n"/>
      <c r="O5" s="686" t="n"/>
      <c r="P5" s="686" t="n"/>
      <c r="Q5" s="686" t="n"/>
      <c r="R5" s="686" t="n"/>
    </row>
    <row r="6" ht="13.15" customFormat="1" customHeight="1" s="685">
      <c r="B6" s="686" t="inlineStr">
        <is>
          <t>Ⅱ</t>
        </is>
      </c>
      <c r="C6" s="686" t="n"/>
      <c r="D6" s="686" t="n"/>
      <c r="E6" s="1442" t="n"/>
      <c r="F6" s="1442" t="n"/>
      <c r="G6" s="686" t="n"/>
      <c r="H6" s="686" t="n"/>
      <c r="I6" s="686" t="n"/>
      <c r="J6" s="686" t="n"/>
      <c r="K6" s="686" t="n"/>
      <c r="L6" s="686" t="n"/>
      <c r="M6" s="686" t="n"/>
      <c r="N6" s="686" t="n"/>
      <c r="O6" s="686" t="n"/>
      <c r="P6" s="686" t="n"/>
      <c r="Q6" s="686" t="n"/>
      <c r="R6" s="686" t="n"/>
    </row>
    <row r="7" ht="13.15" customFormat="1" customHeight="1" s="685">
      <c r="B7" s="686" t="inlineStr">
        <is>
          <t>Ⅲ</t>
        </is>
      </c>
      <c r="C7" s="686" t="n"/>
      <c r="D7" s="686" t="n"/>
      <c r="E7" s="1442" t="n"/>
      <c r="F7" s="1442" t="n"/>
      <c r="G7" s="686" t="n"/>
      <c r="H7" s="686" t="n"/>
      <c r="I7" s="686" t="n"/>
      <c r="J7" s="686" t="n"/>
      <c r="K7" s="686" t="n"/>
      <c r="L7" s="686" t="n"/>
      <c r="M7" s="686" t="n"/>
      <c r="N7" s="686" t="n"/>
      <c r="O7" s="686" t="n"/>
      <c r="P7" s="686" t="n"/>
      <c r="Q7" s="686" t="n"/>
      <c r="R7" s="686" t="n"/>
    </row>
    <row r="8" ht="13.15" customFormat="1" customHeight="1" s="685">
      <c r="B8" s="686" t="inlineStr">
        <is>
          <t>Ⅳ</t>
        </is>
      </c>
      <c r="C8" s="686" t="n"/>
      <c r="D8" s="686" t="n"/>
      <c r="E8" s="1442" t="n"/>
      <c r="F8" s="686" t="n"/>
      <c r="G8" s="686" t="n"/>
      <c r="H8" s="686" t="n"/>
      <c r="I8" s="686" t="n"/>
      <c r="J8" s="686" t="n"/>
      <c r="K8" s="686" t="n"/>
      <c r="L8" s="686" t="n"/>
      <c r="M8" s="686" t="n"/>
      <c r="N8" s="686" t="n"/>
      <c r="O8" s="686" t="n"/>
      <c r="P8" s="686" t="n"/>
      <c r="Q8" s="686" t="n"/>
      <c r="R8" s="686" t="n"/>
    </row>
    <row r="9" ht="13.15" customFormat="1" customHeight="1" s="685">
      <c r="B9" s="686" t="inlineStr">
        <is>
          <t>Ⅴ</t>
        </is>
      </c>
      <c r="C9" s="686" t="n"/>
      <c r="D9" s="686" t="n"/>
      <c r="E9" s="1442" t="n"/>
      <c r="F9" s="686" t="n"/>
      <c r="G9" s="686" t="n"/>
      <c r="H9" s="686" t="n"/>
      <c r="I9" s="686" t="n"/>
      <c r="J9" s="686" t="n"/>
      <c r="K9" s="686" t="n"/>
      <c r="L9" s="686" t="n"/>
      <c r="M9" s="686" t="n"/>
      <c r="N9" s="686" t="n"/>
      <c r="O9" s="686" t="n"/>
      <c r="P9" s="686" t="n"/>
      <c r="Q9" s="686" t="n"/>
      <c r="R9" s="686" t="n"/>
      <c r="T9" s="687" t="n"/>
    </row>
    <row r="10" ht="13.15" customFormat="1" customHeight="1" s="685">
      <c r="B10" s="686" t="inlineStr">
        <is>
          <t>Ⅵ</t>
        </is>
      </c>
      <c r="C10" s="686" t="n"/>
      <c r="D10" s="686" t="n"/>
      <c r="E10" s="1442" t="n"/>
      <c r="F10" s="686" t="n"/>
      <c r="G10" s="686" t="n"/>
      <c r="H10" s="686" t="n"/>
      <c r="I10" s="686" t="n"/>
      <c r="J10" s="686" t="n"/>
      <c r="K10" s="686" t="n"/>
      <c r="L10" s="686" t="n"/>
      <c r="M10" s="686" t="n"/>
      <c r="N10" s="686" t="n"/>
      <c r="O10" s="686" t="n"/>
      <c r="P10" s="686" t="n"/>
      <c r="Q10" s="686" t="n"/>
      <c r="R10" s="686" t="n"/>
    </row>
    <row r="11" ht="13.15" customFormat="1" customHeight="1" s="685">
      <c r="B11" s="686" t="inlineStr">
        <is>
          <t>自習</t>
        </is>
      </c>
      <c r="C11" s="686" t="n"/>
      <c r="D11" s="686" t="n"/>
      <c r="E11" s="1443" t="n"/>
      <c r="F11" s="686" t="n"/>
      <c r="G11" s="686" t="n"/>
      <c r="H11" s="686" t="n"/>
      <c r="I11" s="686" t="n"/>
      <c r="J11" s="686" t="n"/>
      <c r="K11" s="686" t="n"/>
      <c r="L11" s="686" t="n"/>
      <c r="M11" s="686" t="n"/>
      <c r="N11" s="686" t="n"/>
      <c r="O11" s="686" t="n"/>
      <c r="P11" s="686" t="n"/>
      <c r="Q11" s="686" t="n"/>
      <c r="R11" s="686" t="n"/>
    </row>
    <row r="12" ht="13.15" customHeight="1" s="1428">
      <c r="B12" s="689" t="n"/>
      <c r="C12" s="690" t="n">
        <v>6</v>
      </c>
      <c r="D12" s="690" t="n">
        <v>6</v>
      </c>
      <c r="E12" s="690" t="n">
        <v>6</v>
      </c>
      <c r="F12" s="690" t="n">
        <v>6</v>
      </c>
      <c r="G12" s="690" t="n">
        <v>6</v>
      </c>
      <c r="H12" s="690" t="n">
        <v>6</v>
      </c>
      <c r="I12" s="691" t="n">
        <v>3</v>
      </c>
      <c r="J12" s="690" t="n"/>
      <c r="K12" s="690" t="n"/>
      <c r="L12" s="690" t="n"/>
      <c r="M12" s="690" t="n"/>
      <c r="N12" s="690" t="n"/>
      <c r="O12" s="690" t="n"/>
      <c r="P12" s="690" t="n"/>
      <c r="Q12" s="690" t="n"/>
      <c r="R12" s="690" t="n"/>
      <c r="S12" s="685" t="n"/>
      <c r="T12" s="685" t="n"/>
    </row>
    <row r="13" ht="13.15" customHeight="1" s="1428">
      <c r="B13" s="1244" t="inlineStr">
        <is>
          <t>日付</t>
        </is>
      </c>
      <c r="C13" s="1499" t="n">
        <v>43313</v>
      </c>
      <c r="D13" s="1244" t="n">
        <v>2</v>
      </c>
      <c r="E13" s="1244" t="n">
        <v>3</v>
      </c>
      <c r="F13" s="683" t="n">
        <v>4</v>
      </c>
      <c r="G13" s="1244" t="n">
        <v>5</v>
      </c>
      <c r="H13" s="1244" t="n">
        <v>6</v>
      </c>
      <c r="I13" s="1244" t="n">
        <v>7</v>
      </c>
      <c r="J13" s="1244" t="n">
        <v>8</v>
      </c>
      <c r="K13" s="1244" t="n">
        <v>9</v>
      </c>
      <c r="L13" s="1248" t="n">
        <v>10</v>
      </c>
      <c r="M13" s="683" t="n">
        <v>11</v>
      </c>
      <c r="N13" s="1244" t="n">
        <v>12</v>
      </c>
      <c r="O13" s="1244" t="n">
        <v>13</v>
      </c>
      <c r="P13" s="1244" t="n">
        <v>14</v>
      </c>
      <c r="Q13" s="1244" t="n">
        <v>15</v>
      </c>
      <c r="R13" s="1244" t="n">
        <v>16</v>
      </c>
      <c r="S13" s="685" t="n"/>
      <c r="T13" s="685" t="n"/>
    </row>
    <row r="14" ht="13.15" customHeight="1" s="1428">
      <c r="B14" s="1244" t="inlineStr">
        <is>
          <t>曜日</t>
        </is>
      </c>
      <c r="C14" s="1244" t="inlineStr">
        <is>
          <t>木</t>
        </is>
      </c>
      <c r="D14" s="1244" t="inlineStr">
        <is>
          <t>金</t>
        </is>
      </c>
      <c r="E14" s="1244" t="inlineStr">
        <is>
          <t>土</t>
        </is>
      </c>
      <c r="F14" s="683" t="inlineStr">
        <is>
          <t>日</t>
        </is>
      </c>
      <c r="G14" s="1244" t="inlineStr">
        <is>
          <t>月</t>
        </is>
      </c>
      <c r="H14" s="1244" t="inlineStr">
        <is>
          <t>火</t>
        </is>
      </c>
      <c r="I14" s="1244" t="inlineStr">
        <is>
          <t>水</t>
        </is>
      </c>
      <c r="J14" s="1244" t="inlineStr">
        <is>
          <t>木</t>
        </is>
      </c>
      <c r="K14" s="1244" t="inlineStr">
        <is>
          <t>金</t>
        </is>
      </c>
      <c r="L14" s="1244" t="inlineStr">
        <is>
          <t>土</t>
        </is>
      </c>
      <c r="M14" s="683" t="inlineStr">
        <is>
          <t>日</t>
        </is>
      </c>
      <c r="N14" s="1244" t="inlineStr">
        <is>
          <t>月</t>
        </is>
      </c>
      <c r="O14" s="1244" t="inlineStr">
        <is>
          <t>火</t>
        </is>
      </c>
      <c r="P14" s="1244" t="inlineStr">
        <is>
          <t>水</t>
        </is>
      </c>
      <c r="Q14" s="1244" t="inlineStr">
        <is>
          <t>木</t>
        </is>
      </c>
      <c r="R14" s="1244" t="inlineStr">
        <is>
          <t>金</t>
        </is>
      </c>
    </row>
    <row r="15" ht="13.15" customHeight="1" s="1428">
      <c r="B15" s="686" t="inlineStr">
        <is>
          <t>Ⅰ</t>
        </is>
      </c>
      <c r="C15" s="686" t="n"/>
      <c r="D15" s="686" t="n"/>
      <c r="E15" s="686" t="n"/>
      <c r="F15" s="686" t="n"/>
      <c r="G15" s="686" t="n"/>
      <c r="H15" s="686" t="n"/>
      <c r="I15" s="693" t="inlineStr">
        <is>
          <t>授業</t>
        </is>
      </c>
      <c r="J15" s="1322" t="inlineStr">
        <is>
          <t>久住合宿</t>
        </is>
      </c>
      <c r="K15" s="1479" t="n"/>
      <c r="L15" s="1480" t="n"/>
      <c r="M15" s="1500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N15" s="1479" t="n"/>
      <c r="O15" s="1479" t="n"/>
      <c r="P15" s="1479" t="n"/>
      <c r="Q15" s="1480" t="n"/>
      <c r="R15" s="1501" t="inlineStr">
        <is>
          <t>後半　打合せ</t>
        </is>
      </c>
    </row>
    <row r="16" ht="13.15" customHeight="1" s="1428">
      <c r="B16" s="686" t="inlineStr">
        <is>
          <t>Ⅱ</t>
        </is>
      </c>
      <c r="C16" s="686" t="n"/>
      <c r="D16" s="686" t="n"/>
      <c r="E16" s="686" t="n"/>
      <c r="F16" s="686" t="n"/>
      <c r="G16" s="686" t="n"/>
      <c r="H16" s="686" t="n"/>
      <c r="I16" s="693" t="inlineStr">
        <is>
          <t>※受験のみ</t>
        </is>
      </c>
      <c r="J16" s="1482" t="n"/>
      <c r="L16" s="1458" t="n"/>
      <c r="M16" s="1482" t="n"/>
      <c r="Q16" s="1458" t="n"/>
      <c r="R16" s="1442" t="n"/>
    </row>
    <row r="17" ht="13.15" customHeight="1" s="1428">
      <c r="B17" s="686" t="inlineStr">
        <is>
          <t>Ⅲ</t>
        </is>
      </c>
      <c r="C17" s="686" t="n"/>
      <c r="D17" s="686" t="n"/>
      <c r="E17" s="686" t="n"/>
      <c r="F17" s="686" t="n"/>
      <c r="G17" s="686" t="n"/>
      <c r="H17" s="686" t="n"/>
      <c r="I17" s="1338" t="n"/>
      <c r="J17" s="1482" t="n"/>
      <c r="L17" s="1458" t="n"/>
      <c r="M17" s="1482" t="n"/>
      <c r="Q17" s="1458" t="n"/>
      <c r="R17" s="1442" t="n"/>
    </row>
    <row r="18" ht="13.15" customHeight="1" s="1428">
      <c r="B18" s="686" t="inlineStr">
        <is>
          <t>Ⅳ</t>
        </is>
      </c>
      <c r="C18" s="686" t="n"/>
      <c r="D18" s="686" t="n"/>
      <c r="E18" s="686" t="n"/>
      <c r="F18" s="686" t="n"/>
      <c r="G18" s="686" t="n"/>
      <c r="H18" s="686" t="n"/>
      <c r="I18" s="694" t="inlineStr">
        <is>
          <t>久住説明会</t>
        </is>
      </c>
      <c r="J18" s="1482" t="n"/>
      <c r="L18" s="1458" t="n"/>
      <c r="M18" s="1482" t="n"/>
      <c r="Q18" s="1458" t="n"/>
      <c r="R18" s="1442" t="n"/>
    </row>
    <row r="19" ht="13.15" customHeight="1" s="1428">
      <c r="B19" s="686" t="inlineStr">
        <is>
          <t>Ⅴ</t>
        </is>
      </c>
      <c r="C19" s="686" t="n"/>
      <c r="D19" s="686" t="n"/>
      <c r="E19" s="686" t="n"/>
      <c r="F19" s="686" t="n"/>
      <c r="G19" s="686" t="n"/>
      <c r="H19" s="695" t="inlineStr">
        <is>
          <t>中1/中2</t>
        </is>
      </c>
      <c r="I19" s="696" t="n"/>
      <c r="J19" s="1482" t="n"/>
      <c r="L19" s="1458" t="n"/>
      <c r="M19" s="1482" t="n"/>
      <c r="Q19" s="1458" t="n"/>
      <c r="R19" s="1442" t="n"/>
    </row>
    <row r="20" ht="13.15" customHeight="1" s="1428">
      <c r="B20" s="686" t="inlineStr">
        <is>
          <t>Ⅵ</t>
        </is>
      </c>
      <c r="C20" s="686" t="n"/>
      <c r="D20" s="686" t="n"/>
      <c r="E20" s="686" t="n"/>
      <c r="F20" s="686" t="n"/>
      <c r="G20" s="686" t="n"/>
      <c r="H20" s="695" t="inlineStr">
        <is>
          <t>達成度確認</t>
        </is>
      </c>
      <c r="I20" s="696" t="n"/>
      <c r="J20" s="1482" t="n"/>
      <c r="L20" s="1458" t="n"/>
      <c r="M20" s="1482" t="n"/>
      <c r="Q20" s="1458" t="n"/>
      <c r="R20" s="1442" t="n"/>
    </row>
    <row r="21" ht="13.15" customHeight="1" s="1428">
      <c r="B21" s="686" t="inlineStr">
        <is>
          <t>自習</t>
        </is>
      </c>
      <c r="C21" s="686" t="n"/>
      <c r="D21" s="686" t="n"/>
      <c r="E21" s="686" t="n"/>
      <c r="F21" s="686" t="n"/>
      <c r="G21" s="686" t="n"/>
      <c r="H21" s="686" t="n"/>
      <c r="I21" s="696" t="n"/>
      <c r="J21" s="1451" t="n"/>
      <c r="K21" s="1484" t="n"/>
      <c r="L21" s="1485" t="n"/>
      <c r="M21" s="1451" t="n"/>
      <c r="N21" s="1484" t="n"/>
      <c r="O21" s="1484" t="n"/>
      <c r="P21" s="1484" t="n"/>
      <c r="Q21" s="1485" t="n"/>
      <c r="R21" s="1443" t="n"/>
    </row>
    <row r="22" ht="13.15" customHeight="1" s="1428">
      <c r="B22" s="697" t="n"/>
      <c r="C22" s="690" t="n">
        <v>6</v>
      </c>
      <c r="D22" s="690" t="n">
        <v>6</v>
      </c>
      <c r="E22" s="690" t="n">
        <v>6</v>
      </c>
      <c r="F22" s="690" t="n">
        <v>6</v>
      </c>
      <c r="G22" s="690" t="n">
        <v>6</v>
      </c>
      <c r="H22" s="690" t="n">
        <v>6</v>
      </c>
      <c r="I22" s="690" t="n"/>
      <c r="J22" s="690" t="n"/>
      <c r="K22" s="690" t="n"/>
      <c r="L22" s="690" t="n"/>
      <c r="M22" s="690" t="n"/>
      <c r="N22" s="690" t="n"/>
      <c r="O22" s="690">
        <f>SUM(E2:R2)</f>
        <v/>
      </c>
      <c r="P22" s="690">
        <f>SUM(C12:R12)</f>
        <v/>
      </c>
      <c r="Q22" s="690">
        <f>SUM(C22:K22)</f>
        <v/>
      </c>
      <c r="R22" s="690">
        <f>O22+P22+Q22</f>
        <v/>
      </c>
    </row>
    <row r="23" ht="13.15" customHeight="1" s="1428">
      <c r="B23" s="1244" t="inlineStr">
        <is>
          <t>日付</t>
        </is>
      </c>
      <c r="C23" s="1244" t="n">
        <v>17</v>
      </c>
      <c r="D23" s="683" t="n">
        <v>18</v>
      </c>
      <c r="E23" s="1244" t="n">
        <v>19</v>
      </c>
      <c r="F23" s="1244" t="n">
        <v>20</v>
      </c>
      <c r="G23" s="1244" t="n">
        <v>21</v>
      </c>
      <c r="H23" s="1244" t="n">
        <v>22</v>
      </c>
      <c r="I23" s="1244" t="n">
        <v>23</v>
      </c>
      <c r="J23" s="1244" t="n">
        <v>24</v>
      </c>
      <c r="K23" s="683" t="n">
        <v>25</v>
      </c>
      <c r="L23" s="1244" t="n">
        <v>26</v>
      </c>
      <c r="M23" s="1244" t="n">
        <v>27</v>
      </c>
      <c r="N23" s="1244" t="n">
        <v>28</v>
      </c>
      <c r="O23" s="1244" t="n">
        <v>29</v>
      </c>
      <c r="P23" s="1244" t="n">
        <v>30</v>
      </c>
      <c r="Q23" s="1244" t="n">
        <v>31</v>
      </c>
      <c r="R23" s="698" t="inlineStr">
        <is>
          <t>9/1</t>
        </is>
      </c>
    </row>
    <row r="24" ht="13.15" customHeight="1" s="1428">
      <c r="B24" s="1244" t="inlineStr">
        <is>
          <t>曜日</t>
        </is>
      </c>
      <c r="C24" s="1244" t="inlineStr">
        <is>
          <t>土</t>
        </is>
      </c>
      <c r="D24" s="683" t="inlineStr">
        <is>
          <t>日</t>
        </is>
      </c>
      <c r="E24" s="1244" t="inlineStr">
        <is>
          <t>月</t>
        </is>
      </c>
      <c r="F24" s="1244" t="inlineStr">
        <is>
          <t>火</t>
        </is>
      </c>
      <c r="G24" s="1244" t="inlineStr">
        <is>
          <t>水</t>
        </is>
      </c>
      <c r="H24" s="1244" t="inlineStr">
        <is>
          <t>木</t>
        </is>
      </c>
      <c r="I24" s="1244" t="inlineStr">
        <is>
          <t>金</t>
        </is>
      </c>
      <c r="J24" s="1244" t="inlineStr">
        <is>
          <t>土</t>
        </is>
      </c>
      <c r="K24" s="683" t="inlineStr">
        <is>
          <t>日</t>
        </is>
      </c>
      <c r="L24" s="1244" t="inlineStr">
        <is>
          <t>月</t>
        </is>
      </c>
      <c r="M24" s="1244" t="inlineStr">
        <is>
          <t>火</t>
        </is>
      </c>
      <c r="N24" s="1244" t="inlineStr">
        <is>
          <t>水</t>
        </is>
      </c>
      <c r="O24" s="1244" t="inlineStr">
        <is>
          <t>木</t>
        </is>
      </c>
      <c r="P24" s="1244" t="inlineStr">
        <is>
          <t>金</t>
        </is>
      </c>
      <c r="Q24" s="1244" t="inlineStr">
        <is>
          <t>土</t>
        </is>
      </c>
      <c r="R24" s="1244" t="inlineStr">
        <is>
          <t>日</t>
        </is>
      </c>
    </row>
    <row r="25" ht="13.15" customHeight="1" s="1428">
      <c r="B25" s="686" t="inlineStr">
        <is>
          <t>Ⅰ</t>
        </is>
      </c>
      <c r="C25" s="686" t="n"/>
      <c r="D25" s="686" t="n"/>
      <c r="E25" s="686" t="n"/>
      <c r="F25" s="686" t="n"/>
      <c r="G25" s="686" t="n"/>
      <c r="H25" s="686" t="n"/>
      <c r="I25" s="1501" t="inlineStr">
        <is>
          <t>反省テスト</t>
        </is>
      </c>
      <c r="J25" s="1480" t="n"/>
      <c r="K25" s="1501" t="inlineStr">
        <is>
          <t>後受け
新学期準備</t>
        </is>
      </c>
      <c r="L25" s="1480" t="n"/>
      <c r="M25" s="686" t="n"/>
      <c r="N25" s="686" t="n"/>
      <c r="O25" s="686" t="n"/>
      <c r="P25" s="1502" t="inlineStr">
        <is>
          <t xml:space="preserve">①学校8/27始業式
②附属中:8/21-8/22期末、8/23授業
③春日市の中学校（2期制）8/26始業式、29-30期末
</t>
        </is>
      </c>
      <c r="Q25" s="1479" t="n"/>
      <c r="R25" s="1480" t="n"/>
    </row>
    <row r="26" ht="13.15" customHeight="1" s="1428">
      <c r="B26" s="686" t="inlineStr">
        <is>
          <t>Ⅱ</t>
        </is>
      </c>
      <c r="C26" s="686" t="n"/>
      <c r="D26" s="686" t="n"/>
      <c r="E26" s="686" t="n"/>
      <c r="F26" s="686" t="n"/>
      <c r="G26" s="686" t="n"/>
      <c r="H26" s="686" t="n"/>
      <c r="I26" s="1482" t="n"/>
      <c r="J26" s="1458" t="n"/>
      <c r="K26" s="1482" t="n"/>
      <c r="L26" s="1458" t="n"/>
      <c r="M26" s="686" t="n"/>
      <c r="N26" s="686" t="n"/>
      <c r="O26" s="686" t="n"/>
      <c r="P26" s="1482" t="n"/>
      <c r="R26" s="1458" t="n"/>
    </row>
    <row r="27" ht="13.15" customHeight="1" s="1428">
      <c r="B27" s="686" t="inlineStr">
        <is>
          <t>Ⅲ</t>
        </is>
      </c>
      <c r="C27" s="686" t="n"/>
      <c r="D27" s="686" t="n"/>
      <c r="E27" s="686" t="n"/>
      <c r="F27" s="686" t="n"/>
      <c r="G27" s="686" t="n"/>
      <c r="H27" s="686" t="n"/>
      <c r="I27" s="1482" t="n"/>
      <c r="J27" s="1458" t="n"/>
      <c r="K27" s="1482" t="n"/>
      <c r="L27" s="1458" t="n"/>
      <c r="M27" s="686" t="n"/>
      <c r="N27" s="686" t="n"/>
      <c r="O27" s="686" t="n"/>
      <c r="P27" s="1482" t="n"/>
      <c r="R27" s="1458" t="n"/>
    </row>
    <row r="28" ht="13.15" customHeight="1" s="1428">
      <c r="B28" s="686" t="inlineStr">
        <is>
          <t>Ⅳ</t>
        </is>
      </c>
      <c r="C28" s="686" t="n"/>
      <c r="D28" s="686" t="n"/>
      <c r="E28" s="686" t="n"/>
      <c r="F28" s="686" t="n"/>
      <c r="G28" s="686" t="n"/>
      <c r="H28" s="686" t="n"/>
      <c r="I28" s="1482" t="n"/>
      <c r="J28" s="1458" t="n"/>
      <c r="K28" s="1482" t="n"/>
      <c r="L28" s="1458" t="n"/>
      <c r="M28" s="686" t="n"/>
      <c r="N28" s="686" t="n"/>
      <c r="O28" s="686" t="n"/>
      <c r="P28" s="1482" t="n"/>
      <c r="R28" s="1458" t="n"/>
    </row>
    <row r="29" ht="13.15" customHeight="1" s="1428">
      <c r="B29" s="686" t="inlineStr">
        <is>
          <t>Ⅴ</t>
        </is>
      </c>
      <c r="C29" s="686" t="n"/>
      <c r="D29" s="686" t="n"/>
      <c r="E29" s="686" t="n"/>
      <c r="F29" s="686" t="n"/>
      <c r="G29" s="686" t="n"/>
      <c r="H29" s="686" t="n"/>
      <c r="I29" s="1482" t="n"/>
      <c r="J29" s="1458" t="n"/>
      <c r="K29" s="1482" t="n"/>
      <c r="L29" s="1458" t="n"/>
      <c r="M29" s="686" t="n"/>
      <c r="N29" s="686" t="n"/>
      <c r="O29" s="686" t="n"/>
      <c r="P29" s="1482" t="n"/>
      <c r="R29" s="1458" t="n"/>
    </row>
    <row r="30" ht="13.15" customHeight="1" s="1428">
      <c r="B30" s="686" t="inlineStr">
        <is>
          <t>Ⅵ</t>
        </is>
      </c>
      <c r="C30" s="686" t="n"/>
      <c r="D30" s="686" t="n"/>
      <c r="E30" s="686" t="n"/>
      <c r="F30" s="686" t="n"/>
      <c r="G30" s="686" t="n"/>
      <c r="H30" s="686" t="n"/>
      <c r="I30" s="1482" t="n"/>
      <c r="J30" s="1458" t="n"/>
      <c r="K30" s="1482" t="n"/>
      <c r="L30" s="1458" t="n"/>
      <c r="M30" s="686" t="n"/>
      <c r="N30" s="686" t="n"/>
      <c r="O30" s="686" t="n"/>
      <c r="P30" s="1482" t="n"/>
      <c r="R30" s="1458" t="n"/>
    </row>
    <row r="31" ht="13.15" customHeight="1" s="1428">
      <c r="B31" s="686" t="inlineStr">
        <is>
          <t>自習</t>
        </is>
      </c>
      <c r="C31" s="686" t="n"/>
      <c r="D31" s="686" t="n"/>
      <c r="E31" s="686" t="n"/>
      <c r="F31" s="686" t="n"/>
      <c r="G31" s="686" t="n"/>
      <c r="H31" s="686" t="n"/>
      <c r="I31" s="1451" t="n"/>
      <c r="J31" s="1485" t="n"/>
      <c r="K31" s="1451" t="n"/>
      <c r="L31" s="1485" t="n"/>
      <c r="M31" s="686" t="n"/>
      <c r="N31" s="686" t="n"/>
      <c r="O31" s="686" t="n"/>
      <c r="P31" s="1451" t="n"/>
      <c r="Q31" s="1484" t="n"/>
      <c r="R31" s="1485" t="n"/>
    </row>
    <row r="32" ht="13.15" customHeight="1" s="1428">
      <c r="B32" s="699" t="inlineStr">
        <is>
          <t>※今年：7/19～8/22（全26日　計151コマ）　昨年：7/21～8/23（全25日　計145コマ）　一昨年：7/21～8/24（全26日　計150コマ）</t>
        </is>
      </c>
      <c r="C32" s="699" t="n"/>
      <c r="D32" s="699" t="n"/>
      <c r="E32" s="699" t="n"/>
      <c r="F32" s="699" t="n"/>
      <c r="G32" s="699" t="n"/>
      <c r="H32" s="699" t="n"/>
      <c r="I32" s="699" t="n"/>
      <c r="J32" s="699" t="n"/>
      <c r="K32" s="699" t="n"/>
      <c r="L32" s="699" t="n"/>
      <c r="M32" s="699" t="n"/>
      <c r="N32" s="699" t="n"/>
      <c r="O32" s="699" t="n"/>
      <c r="P32" s="699" t="n"/>
      <c r="Q32" s="699" t="n"/>
    </row>
    <row r="33" ht="13.15" customHeight="1" s="1428">
      <c r="J33" s="1320" t="n"/>
      <c r="R33" s="1320" t="n"/>
    </row>
    <row r="34" ht="13.15" customFormat="1" customHeight="1" s="702" thickBot="1">
      <c r="B34" s="1321" t="inlineStr">
        <is>
          <t>２．授業回数　※梅3A（最多）全21日で88コマ→一日平均4.2コマ</t>
        </is>
      </c>
    </row>
    <row r="35" ht="13.15" customHeight="1" s="1428" thickBot="1">
      <c r="B35" s="1244" t="inlineStr">
        <is>
          <t>クラス</t>
        </is>
      </c>
      <c r="C35" s="1244" t="inlineStr">
        <is>
          <t>国</t>
        </is>
      </c>
      <c r="D35" s="1244" t="inlineStr">
        <is>
          <t>数</t>
        </is>
      </c>
      <c r="E35" s="1244" t="inlineStr">
        <is>
          <t>社</t>
        </is>
      </c>
      <c r="F35" s="1244" t="inlineStr">
        <is>
          <t>理</t>
        </is>
      </c>
      <c r="G35" s="1245" t="inlineStr">
        <is>
          <t>英</t>
        </is>
      </c>
      <c r="H35" s="703" t="inlineStr">
        <is>
          <t>計</t>
        </is>
      </c>
      <c r="I35" s="704" t="n"/>
      <c r="J35" s="1244" t="inlineStr">
        <is>
          <t>クラス</t>
        </is>
      </c>
      <c r="K35" s="1244" t="inlineStr">
        <is>
          <t>国</t>
        </is>
      </c>
      <c r="L35" s="1244" t="inlineStr">
        <is>
          <t>算</t>
        </is>
      </c>
      <c r="M35" s="1244" t="inlineStr">
        <is>
          <t>社</t>
        </is>
      </c>
      <c r="N35" s="1245" t="inlineStr">
        <is>
          <t>理</t>
        </is>
      </c>
      <c r="O35" s="705" t="inlineStr">
        <is>
          <t>計</t>
        </is>
      </c>
      <c r="P35" s="685" t="n"/>
    </row>
    <row r="36" ht="13.15" customHeight="1" s="1428">
      <c r="B36" s="706" t="inlineStr">
        <is>
          <t>梅3Ａ</t>
        </is>
      </c>
      <c r="C36" s="707" t="n">
        <v>14</v>
      </c>
      <c r="D36" s="707" t="n">
        <v>22</v>
      </c>
      <c r="E36" s="707" t="n">
        <v>16</v>
      </c>
      <c r="F36" s="707" t="n">
        <v>16</v>
      </c>
      <c r="G36" s="708" t="n">
        <v>20</v>
      </c>
      <c r="H36" s="709">
        <f>SUM(C36:G36)</f>
        <v/>
      </c>
      <c r="I36" s="704" t="inlineStr">
        <is>
          <t> </t>
        </is>
      </c>
      <c r="J36" s="706" t="inlineStr">
        <is>
          <t>梅６ＪＡ</t>
        </is>
      </c>
      <c r="K36" s="710" t="n">
        <v>17</v>
      </c>
      <c r="L36" s="707" t="n">
        <v>23</v>
      </c>
      <c r="M36" s="707" t="n">
        <v>19</v>
      </c>
      <c r="N36" s="708" t="n">
        <v>17</v>
      </c>
      <c r="O36" s="711">
        <f>SUM(K36:N36)</f>
        <v/>
      </c>
      <c r="P36" s="712" t="n"/>
    </row>
    <row r="37" ht="13.15" customHeight="1" s="1428">
      <c r="B37" s="713" t="inlineStr">
        <is>
          <t>高西3Ａ</t>
        </is>
      </c>
      <c r="C37" s="714" t="n">
        <v>13</v>
      </c>
      <c r="D37" s="715" t="n">
        <v>18</v>
      </c>
      <c r="E37" s="714" t="n">
        <v>13</v>
      </c>
      <c r="F37" s="714" t="n">
        <v>13</v>
      </c>
      <c r="G37" s="716" t="n">
        <v>15</v>
      </c>
      <c r="H37" s="717">
        <f>SUM(C37:G37)</f>
        <v/>
      </c>
      <c r="I37" s="718" t="inlineStr">
        <is>
          <t>←自習5コマ</t>
        </is>
      </c>
      <c r="J37" s="719" t="inlineStr">
        <is>
          <t>６Ｊ</t>
        </is>
      </c>
      <c r="K37" s="720" t="n">
        <v>17</v>
      </c>
      <c r="L37" s="721" t="n">
        <v>21</v>
      </c>
      <c r="M37" s="721" t="n">
        <v>16</v>
      </c>
      <c r="N37" s="722" t="n">
        <v>16</v>
      </c>
      <c r="O37" s="723">
        <f>SUM(K37:N37)</f>
        <v/>
      </c>
      <c r="P37" s="704" t="inlineStr">
        <is>
          <t> </t>
        </is>
      </c>
    </row>
    <row r="38" ht="13.15" customHeight="1" s="1428">
      <c r="B38" s="719" t="inlineStr">
        <is>
          <t>3Ｂ・3Ｃ</t>
        </is>
      </c>
      <c r="C38" s="721" t="n">
        <v>13</v>
      </c>
      <c r="D38" s="721" t="n">
        <v>18</v>
      </c>
      <c r="E38" s="721" t="n">
        <v>13</v>
      </c>
      <c r="F38" s="721" t="n">
        <v>13</v>
      </c>
      <c r="G38" s="722" t="n">
        <v>15</v>
      </c>
      <c r="H38" s="723">
        <f>SUM(C38:G38)</f>
        <v/>
      </c>
      <c r="I38" s="718" t="inlineStr">
        <is>
          <t>←自習5コマ</t>
        </is>
      </c>
      <c r="J38" s="686" t="inlineStr">
        <is>
          <t>６通</t>
        </is>
      </c>
      <c r="K38" s="749" t="n">
        <v>7</v>
      </c>
      <c r="L38" s="749" t="n">
        <v>9</v>
      </c>
      <c r="M38" s="731" t="n">
        <v>8</v>
      </c>
      <c r="N38" s="1503" t="n">
        <v>8</v>
      </c>
      <c r="O38" s="1504">
        <f>SUM(K38:N39)</f>
        <v/>
      </c>
      <c r="P38" s="685" t="n"/>
    </row>
    <row r="39" ht="13.15" customHeight="1" s="1428">
      <c r="B39" s="706" t="inlineStr">
        <is>
          <t>2Ｔ</t>
        </is>
      </c>
      <c r="C39" s="710" t="n">
        <v>8</v>
      </c>
      <c r="D39" s="707" t="n">
        <v>13</v>
      </c>
      <c r="E39" s="710" t="n">
        <v>10</v>
      </c>
      <c r="F39" s="707" t="n">
        <v>11</v>
      </c>
      <c r="G39" s="708" t="n">
        <v>14</v>
      </c>
      <c r="H39" s="711">
        <f>SUM(C39:G39)</f>
        <v/>
      </c>
      <c r="I39" s="704" t="inlineStr">
        <is>
          <t> </t>
        </is>
      </c>
      <c r="J39" s="1443" t="n"/>
      <c r="K39" s="1443" t="n"/>
      <c r="L39" s="1443" t="n"/>
      <c r="M39" s="1443" t="n"/>
      <c r="N39" s="1451" t="n"/>
      <c r="O39" s="1452" t="n"/>
      <c r="P39" s="685" t="n"/>
    </row>
    <row r="40" ht="13.15" customHeight="1" s="1428">
      <c r="B40" s="713" t="inlineStr">
        <is>
          <t>2Ａ</t>
        </is>
      </c>
      <c r="C40" s="720" t="n">
        <v>8</v>
      </c>
      <c r="D40" s="721" t="n">
        <v>12</v>
      </c>
      <c r="E40" s="720" t="n">
        <v>10</v>
      </c>
      <c r="F40" s="721" t="n">
        <v>9</v>
      </c>
      <c r="G40" s="1505" t="n">
        <v>12</v>
      </c>
      <c r="H40" s="723">
        <f>SUM(C40:G41)</f>
        <v/>
      </c>
      <c r="I40" s="704" t="n"/>
      <c r="J40" s="706" t="inlineStr">
        <is>
          <t>５Ｈ</t>
        </is>
      </c>
      <c r="K40" s="1506" t="n">
        <v>7</v>
      </c>
      <c r="L40" s="1506" t="n">
        <v>7</v>
      </c>
      <c r="M40" s="1506" t="n">
        <v>7</v>
      </c>
      <c r="N40" s="1507" t="n">
        <v>7</v>
      </c>
      <c r="O40" s="1508">
        <f>SUM(K40:N40)</f>
        <v/>
      </c>
      <c r="P40" s="685" t="n"/>
    </row>
    <row r="41" ht="13.15" customHeight="1" s="1428">
      <c r="B41" s="1275" t="inlineStr">
        <is>
          <t>2Ｂ</t>
        </is>
      </c>
      <c r="C41" s="1443" t="n"/>
      <c r="D41" s="1443" t="n"/>
      <c r="E41" s="1443" t="n"/>
      <c r="F41" s="1443" t="n"/>
      <c r="G41" s="1456" t="n"/>
      <c r="H41" s="1452" t="n"/>
      <c r="I41" s="704" t="n"/>
      <c r="J41" s="1459" t="n"/>
      <c r="K41" s="1459" t="n"/>
      <c r="L41" s="1459" t="n"/>
      <c r="M41" s="1459" t="n"/>
      <c r="N41" s="1491" t="n"/>
      <c r="O41" s="1492" t="n"/>
      <c r="P41" s="685" t="n"/>
    </row>
    <row r="42" ht="13.15" customHeight="1" s="1428">
      <c r="B42" s="706" t="inlineStr">
        <is>
          <t>1A</t>
        </is>
      </c>
      <c r="C42" s="710" t="n">
        <v>7</v>
      </c>
      <c r="D42" s="707" t="n">
        <v>13</v>
      </c>
      <c r="E42" s="710" t="n">
        <v>7</v>
      </c>
      <c r="F42" s="710" t="n">
        <v>7</v>
      </c>
      <c r="G42" s="727" t="n">
        <v>12</v>
      </c>
      <c r="H42" s="711">
        <f>SUM(C42:G42)</f>
        <v/>
      </c>
      <c r="I42" s="704" t="n"/>
      <c r="J42" s="1282" t="inlineStr">
        <is>
          <t>４年</t>
        </is>
      </c>
      <c r="K42" s="1284" t="n">
        <v>7</v>
      </c>
      <c r="L42" s="1284" t="n">
        <v>7</v>
      </c>
      <c r="M42" s="1284" t="n">
        <v>3</v>
      </c>
      <c r="N42" s="1286" t="n">
        <v>3</v>
      </c>
      <c r="O42" s="1509">
        <f>SUM(K42:N42)</f>
        <v/>
      </c>
      <c r="P42" s="685" t="n"/>
    </row>
    <row r="43" ht="13.15" customHeight="1" s="1428" thickBot="1">
      <c r="B43" s="719" t="inlineStr">
        <is>
          <t>1B</t>
        </is>
      </c>
      <c r="C43" s="720" t="n">
        <v>7</v>
      </c>
      <c r="D43" s="721" t="n">
        <v>10</v>
      </c>
      <c r="E43" s="720" t="n">
        <v>7</v>
      </c>
      <c r="F43" s="720" t="n">
        <v>7</v>
      </c>
      <c r="G43" s="1510" t="n">
        <v>10</v>
      </c>
      <c r="H43" s="1511">
        <f>SUM(C43:G44)</f>
        <v/>
      </c>
      <c r="I43" s="704" t="n"/>
      <c r="J43" s="1442" t="n"/>
      <c r="K43" s="1442" t="n"/>
      <c r="L43" s="1442" t="n"/>
      <c r="M43" s="1442" t="n"/>
      <c r="N43" s="1482" t="n"/>
      <c r="O43" s="1462" t="n"/>
      <c r="P43" s="685" t="n"/>
    </row>
    <row r="44" ht="13.15" customHeight="1" s="1428" thickBot="1">
      <c r="B44" s="1443" t="n"/>
      <c r="C44" s="1443" t="n"/>
      <c r="D44" s="1443" t="n"/>
      <c r="E44" s="1443" t="n"/>
      <c r="F44" s="1443" t="n"/>
      <c r="G44" s="1456" t="n"/>
      <c r="H44" s="1462" t="n"/>
      <c r="I44" s="704" t="n"/>
      <c r="J44" s="1264" t="inlineStr">
        <is>
          <t>特別
講座</t>
        </is>
      </c>
      <c r="K44" s="1244" t="inlineStr">
        <is>
          <t>4年算数</t>
        </is>
      </c>
      <c r="L44" s="1244" t="inlineStr">
        <is>
          <t>5H算数</t>
        </is>
      </c>
      <c r="M44" s="1244" t="inlineStr">
        <is>
          <t>5H社会</t>
        </is>
      </c>
      <c r="N44" s="1244" t="inlineStr">
        <is>
          <t>5H理科</t>
        </is>
      </c>
      <c r="O44" s="729" t="n"/>
      <c r="P44" s="685" t="n"/>
    </row>
    <row r="45" ht="13.15" customHeight="1" s="1428">
      <c r="B45" s="730" t="n"/>
      <c r="C45" s="730" t="n"/>
      <c r="D45" s="730" t="n"/>
      <c r="E45" s="730" t="n"/>
      <c r="F45" s="704" t="n"/>
      <c r="G45" s="704" t="n"/>
      <c r="H45" s="704" t="n"/>
      <c r="I45" s="704" t="n"/>
      <c r="J45" s="1443" t="n"/>
      <c r="K45" s="731" t="n">
        <v>6</v>
      </c>
      <c r="L45" s="731" t="n">
        <v>7</v>
      </c>
      <c r="M45" s="686" t="n">
        <v>6</v>
      </c>
      <c r="N45" s="686" t="n">
        <v>6</v>
      </c>
      <c r="O45" s="732" t="n"/>
    </row>
    <row r="46" ht="13.15" customHeight="1" s="1428">
      <c r="B46" s="730" t="n"/>
      <c r="C46" s="730" t="n"/>
      <c r="D46" s="730" t="n"/>
      <c r="E46" s="730" t="n"/>
      <c r="F46" s="704" t="n"/>
      <c r="G46" s="704" t="n"/>
      <c r="H46" s="704" t="n"/>
      <c r="I46" s="704" t="n"/>
      <c r="O46" s="699" t="n"/>
    </row>
    <row r="47" ht="13.15" customFormat="1" customHeight="1" s="736">
      <c r="B47" s="1512" t="inlineStr">
        <is>
          <t>注意点</t>
        </is>
      </c>
      <c r="C47" s="733" t="inlineStr">
        <is>
          <t>⑴　時間帯（1コマ95分）</t>
        </is>
      </c>
      <c r="D47" s="734" t="n"/>
      <c r="E47" s="734" t="n"/>
      <c r="F47" s="734" t="n"/>
      <c r="G47" s="734" t="n"/>
      <c r="H47" s="734" t="n"/>
      <c r="I47" s="734" t="n"/>
      <c r="J47" s="734" t="n"/>
      <c r="K47" s="734" t="n"/>
      <c r="L47" s="734" t="n"/>
      <c r="M47" s="734" t="n"/>
      <c r="N47" s="734" t="n"/>
      <c r="O47" s="734" t="n"/>
      <c r="P47" s="734" t="n"/>
      <c r="Q47" s="735" t="n"/>
    </row>
    <row r="48" ht="13.15" customFormat="1" customHeight="1" s="736">
      <c r="B48" s="1442" t="n"/>
      <c r="C48" s="737" t="inlineStr">
        <is>
          <t xml:space="preserve"> Ⅰ9:30～11:05   Ⅱ 11:20～12:55  Ⅲ 13:35～15:10  Ⅳ 15:30～17:05  Ⅴ 17:20～18:55  Ⅵ 19:10～20:45  質問受け等 20:45～21:00   </t>
        </is>
      </c>
      <c r="Q48" s="738" t="n"/>
    </row>
    <row r="49" ht="13.15" customFormat="1" customHeight="1" s="736">
      <c r="B49" s="1442" t="n"/>
      <c r="C49" s="1513" t="inlineStr">
        <is>
          <t>⑵　コマ数　黒字：昨年と同じ、高西３Aは通常クラスと同じコマ数</t>
        </is>
      </c>
      <c r="Q49" s="1458" t="n"/>
      <c r="R49" s="739" t="n"/>
    </row>
    <row r="50" ht="13.15" customFormat="1" customHeight="1" s="736">
      <c r="B50" s="1442" t="n"/>
      <c r="C50" s="1272" t="inlineStr">
        <is>
          <t>⑶　8/8(木)～10(土)　久住合宿</t>
        </is>
      </c>
      <c r="Q50" s="740" t="n"/>
    </row>
    <row r="51" ht="13.15" customFormat="1" customHeight="1" s="736">
      <c r="B51" s="1442" t="n"/>
      <c r="C51" s="1272" t="inlineStr">
        <is>
          <t>⑷　8/6(火)中１・中２達成度確認テスト5教科実施(1教科30分,間休憩10分※予定)</t>
        </is>
      </c>
      <c r="Q51" s="738" t="n"/>
      <c r="R51" s="741" t="n"/>
    </row>
    <row r="52" ht="13.15" customFormat="1" customHeight="1" s="736">
      <c r="B52" s="1442" t="n"/>
      <c r="C52" s="742" t="inlineStr">
        <is>
          <t>⑷　生徒は前半４回、後半１回休みを取る。※変更あり</t>
        </is>
      </c>
      <c r="D52" s="743" t="n"/>
      <c r="E52" s="743" t="n"/>
      <c r="F52" s="743" t="n"/>
      <c r="G52" s="743" t="n"/>
      <c r="H52" s="743" t="n"/>
      <c r="I52" s="744" t="n"/>
      <c r="J52" s="743" t="n"/>
      <c r="K52" s="743" t="n"/>
      <c r="L52" s="743" t="n"/>
      <c r="M52" s="743" t="n"/>
      <c r="N52" s="743" t="n"/>
      <c r="O52" s="744" t="n"/>
      <c r="P52" s="744" t="n"/>
      <c r="Q52" s="738" t="n"/>
    </row>
    <row r="53" ht="13.15" customFormat="1" customHeight="1" s="736">
      <c r="B53" s="1443" t="n"/>
      <c r="C53" s="745" t="inlineStr">
        <is>
          <t>⑸　週休一日の職員は前半４回、後半１回、週休二日の職員は前半５回、後半１回公休を取る。</t>
        </is>
      </c>
      <c r="D53" s="746" t="n"/>
      <c r="E53" s="746" t="n"/>
      <c r="F53" s="746" t="n"/>
      <c r="G53" s="746" t="n"/>
      <c r="H53" s="746" t="n"/>
      <c r="I53" s="747" t="n"/>
      <c r="J53" s="746" t="n"/>
      <c r="K53" s="746" t="n"/>
      <c r="L53" s="746" t="n"/>
      <c r="M53" s="746" t="n"/>
      <c r="N53" s="746" t="n"/>
      <c r="O53" s="747" t="n"/>
      <c r="P53" s="747" t="n"/>
      <c r="Q53" s="748" t="n"/>
    </row>
    <row r="54" ht="13.15" customHeight="1" s="1428"/>
    <row r="55" ht="13.15" customHeight="1" s="1428">
      <c r="C55" s="1244" t="inlineStr">
        <is>
          <t>梅光園</t>
        </is>
      </c>
      <c r="D55" s="1465" t="n"/>
      <c r="E55" s="697" t="n"/>
      <c r="F55" s="1244" t="inlineStr">
        <is>
          <t>六本松</t>
        </is>
      </c>
      <c r="G55" s="1465" t="n"/>
      <c r="H55" s="697" t="n"/>
      <c r="I55" s="1244" t="inlineStr">
        <is>
          <t>高宮</t>
        </is>
      </c>
      <c r="J55" s="1465" t="n"/>
      <c r="K55" s="697" t="n"/>
      <c r="L55" s="1244" t="inlineStr">
        <is>
          <t>西新</t>
        </is>
      </c>
      <c r="M55" s="1465" t="n"/>
      <c r="N55" s="697" t="n"/>
      <c r="O55" s="685" t="n"/>
      <c r="P55" s="685" t="n"/>
    </row>
    <row r="56" ht="13.15" customHeight="1" s="1428">
      <c r="C56" s="749" t="inlineStr">
        <is>
          <t>3A</t>
        </is>
      </c>
      <c r="D56" s="750">
        <f>H36</f>
        <v/>
      </c>
      <c r="E56" s="751" t="n"/>
      <c r="F56" s="749" t="inlineStr">
        <is>
          <t>6A</t>
        </is>
      </c>
      <c r="G56" s="750">
        <f>O36</f>
        <v/>
      </c>
      <c r="H56" s="751" t="n"/>
      <c r="I56" s="749" t="inlineStr">
        <is>
          <t>3A</t>
        </is>
      </c>
      <c r="J56" s="750">
        <f>H37</f>
        <v/>
      </c>
      <c r="K56" s="751" t="n"/>
      <c r="L56" s="749" t="inlineStr">
        <is>
          <t>3A</t>
        </is>
      </c>
      <c r="M56" s="750">
        <f>H37</f>
        <v/>
      </c>
      <c r="N56" s="697" t="n"/>
    </row>
    <row r="57" ht="13.15" customHeight="1" s="1428">
      <c r="C57" s="749" t="inlineStr">
        <is>
          <t>3B</t>
        </is>
      </c>
      <c r="D57" s="750">
        <f>H38</f>
        <v/>
      </c>
      <c r="E57" s="751" t="n"/>
      <c r="F57" s="686" t="inlineStr">
        <is>
          <t>6B</t>
        </is>
      </c>
      <c r="G57" s="750">
        <f>O37</f>
        <v/>
      </c>
      <c r="H57" s="751" t="n"/>
      <c r="I57" s="749" t="inlineStr">
        <is>
          <t>3B</t>
        </is>
      </c>
      <c r="J57" s="750">
        <f>H38</f>
        <v/>
      </c>
      <c r="K57" s="751" t="n"/>
      <c r="L57" s="749" t="inlineStr">
        <is>
          <t>3B</t>
        </is>
      </c>
      <c r="M57" s="750">
        <f>H38</f>
        <v/>
      </c>
      <c r="N57" s="697" t="n"/>
    </row>
    <row r="58" ht="13.15" customHeight="1" s="1428">
      <c r="C58" s="749" t="inlineStr">
        <is>
          <t>3C</t>
        </is>
      </c>
      <c r="D58" s="750">
        <f>H38</f>
        <v/>
      </c>
      <c r="E58" s="751" t="n"/>
      <c r="F58" s="749" t="inlineStr">
        <is>
          <t>6C</t>
        </is>
      </c>
      <c r="G58" s="750" t="n">
        <v>32</v>
      </c>
      <c r="H58" s="751" t="n"/>
      <c r="I58" s="749" t="inlineStr">
        <is>
          <t>2T</t>
        </is>
      </c>
      <c r="J58" s="750" t="n">
        <v>58</v>
      </c>
      <c r="K58" s="751" t="n"/>
      <c r="L58" s="749" t="inlineStr">
        <is>
          <t>2T</t>
        </is>
      </c>
      <c r="M58" s="750" t="n">
        <v>58</v>
      </c>
      <c r="N58" s="697" t="n"/>
    </row>
    <row r="59" ht="13.15" customHeight="1" s="1428">
      <c r="C59" s="749" t="inlineStr">
        <is>
          <t>2T</t>
        </is>
      </c>
      <c r="D59" s="750" t="n">
        <v>58</v>
      </c>
      <c r="E59" s="751" t="n"/>
      <c r="F59" s="686" t="inlineStr">
        <is>
          <t>5HA</t>
        </is>
      </c>
      <c r="G59" s="750" t="n">
        <v>28</v>
      </c>
      <c r="H59" s="751" t="n"/>
      <c r="I59" s="749" t="inlineStr">
        <is>
          <t>2Ａ</t>
        </is>
      </c>
      <c r="J59" s="750" t="n">
        <v>51</v>
      </c>
      <c r="K59" s="751" t="n"/>
      <c r="L59" s="749" t="inlineStr">
        <is>
          <t>2A</t>
        </is>
      </c>
      <c r="M59" s="750" t="n">
        <v>51</v>
      </c>
      <c r="N59" s="697" t="n"/>
    </row>
    <row r="60" ht="13.15" customHeight="1" s="1428">
      <c r="C60" s="749" t="inlineStr">
        <is>
          <t>2A</t>
        </is>
      </c>
      <c r="D60" s="750">
        <f>H40</f>
        <v/>
      </c>
      <c r="E60" s="751" t="n"/>
      <c r="F60" s="686" t="inlineStr">
        <is>
          <t>5HB・外</t>
        </is>
      </c>
      <c r="G60" s="750" t="n">
        <v>28</v>
      </c>
      <c r="H60" s="751" t="n"/>
      <c r="I60" s="749" t="inlineStr">
        <is>
          <t>1A</t>
        </is>
      </c>
      <c r="J60" s="752" t="n">
        <v>46</v>
      </c>
      <c r="K60" s="751" t="n"/>
      <c r="L60" s="749" t="inlineStr">
        <is>
          <t>1A</t>
        </is>
      </c>
      <c r="M60" s="750" t="n">
        <v>46</v>
      </c>
      <c r="N60" s="697" t="n"/>
    </row>
    <row r="61" ht="13.15" customHeight="1" s="1428">
      <c r="C61" s="749" t="inlineStr">
        <is>
          <t>2B</t>
        </is>
      </c>
      <c r="D61" s="750">
        <f>H40</f>
        <v/>
      </c>
      <c r="E61" s="751" t="n"/>
      <c r="F61" s="749" t="inlineStr">
        <is>
          <t>4年</t>
        </is>
      </c>
      <c r="G61" s="750">
        <f>O42</f>
        <v/>
      </c>
      <c r="H61" s="751" t="n"/>
      <c r="I61" s="749" t="inlineStr">
        <is>
          <t>1B</t>
        </is>
      </c>
      <c r="J61" s="750" t="n">
        <v>41</v>
      </c>
      <c r="K61" s="751" t="n"/>
      <c r="L61" s="749" t="inlineStr">
        <is>
          <t>1B</t>
        </is>
      </c>
      <c r="M61" s="750" t="n">
        <v>41</v>
      </c>
      <c r="N61" s="697" t="n"/>
    </row>
    <row r="62" ht="13.15" customHeight="1" s="1428">
      <c r="C62" s="749" t="inlineStr">
        <is>
          <t>1A</t>
        </is>
      </c>
      <c r="D62" s="750" t="n">
        <v>46</v>
      </c>
      <c r="E62" s="751" t="n"/>
      <c r="F62" s="749" t="inlineStr">
        <is>
          <t>4外</t>
        </is>
      </c>
      <c r="G62" s="753">
        <f>O42</f>
        <v/>
      </c>
      <c r="H62" s="751" t="n"/>
      <c r="I62" s="749" t="inlineStr">
        <is>
          <t>6受</t>
        </is>
      </c>
      <c r="J62" s="750">
        <f>O37</f>
        <v/>
      </c>
      <c r="K62" s="751" t="n"/>
      <c r="L62" s="749" t="inlineStr">
        <is>
          <t>6受</t>
        </is>
      </c>
      <c r="M62" s="750">
        <f>O37</f>
        <v/>
      </c>
      <c r="N62" s="697" t="n"/>
    </row>
    <row r="63" ht="13.15" customHeight="1" s="1428">
      <c r="C63" s="749" t="inlineStr">
        <is>
          <t>1B</t>
        </is>
      </c>
      <c r="D63" s="750" t="n">
        <v>41</v>
      </c>
      <c r="E63" s="751" t="n"/>
      <c r="F63" s="686" t="inlineStr">
        <is>
          <t>5HA算数講座</t>
        </is>
      </c>
      <c r="G63" s="750" t="n">
        <v>7</v>
      </c>
      <c r="H63" s="751" t="n"/>
      <c r="I63" s="749" t="inlineStr">
        <is>
          <t>6通</t>
        </is>
      </c>
      <c r="J63" s="750" t="n">
        <v>32</v>
      </c>
      <c r="K63" s="751" t="n"/>
      <c r="L63" s="749" t="inlineStr">
        <is>
          <t>6通</t>
        </is>
      </c>
      <c r="M63" s="750" t="n">
        <v>32</v>
      </c>
      <c r="N63" s="697" t="n"/>
    </row>
    <row r="64" ht="13.15" customHeight="1" s="1428">
      <c r="C64" s="754" t="n"/>
      <c r="D64" s="754" t="n"/>
      <c r="E64" s="751" t="n"/>
      <c r="F64" s="686" t="inlineStr">
        <is>
          <t>5HA社会講座</t>
        </is>
      </c>
      <c r="G64" s="750" t="n">
        <v>6</v>
      </c>
      <c r="H64" s="751" t="n"/>
      <c r="I64" s="749" t="inlineStr">
        <is>
          <t>5H</t>
        </is>
      </c>
      <c r="J64" s="750" t="n">
        <v>28</v>
      </c>
      <c r="K64" s="751" t="n"/>
      <c r="L64" s="749" t="inlineStr">
        <is>
          <t>5H</t>
        </is>
      </c>
      <c r="M64" s="750" t="n">
        <v>28</v>
      </c>
      <c r="N64" s="697" t="n"/>
    </row>
    <row r="65" ht="13.15" customHeight="1" s="1428">
      <c r="C65" s="754" t="n"/>
      <c r="D65" s="754" t="n"/>
      <c r="E65" s="751" t="n"/>
      <c r="F65" s="686" t="inlineStr">
        <is>
          <t>5HA理科講座</t>
        </is>
      </c>
      <c r="G65" s="750" t="n">
        <v>6</v>
      </c>
      <c r="H65" s="751" t="n"/>
      <c r="I65" s="749" t="inlineStr">
        <is>
          <t>4年</t>
        </is>
      </c>
      <c r="J65" s="750" t="n">
        <v>20</v>
      </c>
      <c r="K65" s="751" t="n"/>
      <c r="L65" s="749" t="inlineStr">
        <is>
          <t>4年</t>
        </is>
      </c>
      <c r="M65" s="750" t="n">
        <v>20</v>
      </c>
      <c r="N65" s="697" t="n"/>
    </row>
    <row r="66" ht="13.15" customHeight="1" s="1428">
      <c r="C66" s="754" t="n"/>
      <c r="D66" s="754" t="n"/>
      <c r="E66" s="751" t="n"/>
      <c r="F66" s="749" t="inlineStr">
        <is>
          <t>4年算数講座</t>
        </is>
      </c>
      <c r="G66" s="750">
        <f>K45</f>
        <v/>
      </c>
      <c r="H66" s="751" t="n"/>
      <c r="I66" s="749" t="inlineStr">
        <is>
          <t>5年算数講座</t>
        </is>
      </c>
      <c r="J66" s="750" t="n">
        <v>7</v>
      </c>
      <c r="K66" s="751" t="n"/>
      <c r="L66" s="749" t="inlineStr">
        <is>
          <t>5年算数講座</t>
        </is>
      </c>
      <c r="M66" s="750" t="n">
        <v>7</v>
      </c>
      <c r="N66" s="697" t="n"/>
    </row>
    <row r="67" ht="13.15" customHeight="1" s="1428">
      <c r="C67" s="754" t="n"/>
      <c r="D67" s="754" t="n"/>
      <c r="E67" s="751" t="n"/>
      <c r="F67" s="754" t="n"/>
      <c r="G67" s="754" t="n"/>
      <c r="H67" s="751" t="n"/>
      <c r="I67" s="749" t="inlineStr">
        <is>
          <t>5年社会講座</t>
        </is>
      </c>
      <c r="J67" s="750" t="n">
        <v>6</v>
      </c>
      <c r="K67" s="751" t="n"/>
      <c r="L67" s="749" t="inlineStr">
        <is>
          <t>5年社会講座</t>
        </is>
      </c>
      <c r="M67" s="755" t="n">
        <v>6</v>
      </c>
      <c r="N67" s="697" t="n"/>
    </row>
    <row r="68" ht="13.15" customHeight="1" s="1428">
      <c r="C68" s="754" t="n"/>
      <c r="D68" s="754" t="n"/>
      <c r="E68" s="751" t="n"/>
      <c r="F68" s="754" t="n"/>
      <c r="G68" s="754" t="n"/>
      <c r="H68" s="751" t="n"/>
      <c r="I68" s="1276" t="inlineStr">
        <is>
          <t>5年理科講座</t>
        </is>
      </c>
      <c r="J68" s="750" t="n">
        <v>6</v>
      </c>
      <c r="K68" s="751" t="n"/>
      <c r="L68" s="1276" t="inlineStr">
        <is>
          <t>5年理科講座</t>
        </is>
      </c>
      <c r="M68" s="750" t="n">
        <v>6</v>
      </c>
      <c r="N68" s="697" t="n"/>
    </row>
    <row r="69" ht="13.15" customHeight="1" s="1428">
      <c r="C69" s="754" t="n"/>
      <c r="D69" s="754" t="n"/>
      <c r="E69" s="756" t="n"/>
      <c r="F69" s="754" t="n"/>
      <c r="G69" s="754" t="n"/>
      <c r="H69" s="751" t="n"/>
      <c r="I69" s="749" t="inlineStr">
        <is>
          <t>4年算数講座</t>
        </is>
      </c>
      <c r="J69" s="750" t="n">
        <v>6</v>
      </c>
      <c r="K69" s="751" t="n"/>
      <c r="L69" s="749" t="inlineStr">
        <is>
          <t>4年算数講座</t>
        </is>
      </c>
      <c r="M69" s="750" t="n">
        <v>6</v>
      </c>
      <c r="N69" s="697" t="n"/>
    </row>
    <row r="70" ht="13.15" customHeight="1" s="1428">
      <c r="C70" s="757" t="n"/>
      <c r="D70" s="758" t="n"/>
      <c r="E70" s="704" t="n"/>
      <c r="F70" s="754" t="n"/>
      <c r="G70" s="754" t="n"/>
      <c r="H70" s="697" t="n"/>
      <c r="I70" s="757" t="n"/>
      <c r="J70" s="759" t="n"/>
      <c r="K70" s="697" t="n"/>
      <c r="L70" s="754" t="n"/>
      <c r="M70" s="754" t="n"/>
      <c r="N70" s="697" t="n"/>
    </row>
    <row r="71" ht="13.15" customHeight="1" s="1428">
      <c r="C71" s="686" t="n"/>
      <c r="D71" s="759" t="n"/>
      <c r="E71" s="704" t="n"/>
      <c r="F71" s="754" t="n"/>
      <c r="G71" s="754" t="n"/>
      <c r="H71" s="697" t="n"/>
      <c r="I71" s="757" t="inlineStr">
        <is>
          <t> </t>
        </is>
      </c>
      <c r="J71" s="759" t="inlineStr">
        <is>
          <t> </t>
        </is>
      </c>
      <c r="K71" s="697" t="n"/>
      <c r="L71" s="757" t="n"/>
      <c r="M71" s="759" t="n"/>
      <c r="N71" s="700" t="n"/>
    </row>
    <row r="72" ht="13.15" customHeight="1" s="1428">
      <c r="C72" s="760" t="inlineStr">
        <is>
          <t>合計</t>
        </is>
      </c>
      <c r="D72" s="761">
        <f>SUM(D56:D71)</f>
        <v/>
      </c>
      <c r="E72" s="762" t="n"/>
      <c r="F72" s="761" t="inlineStr">
        <is>
          <t>合計</t>
        </is>
      </c>
      <c r="G72" s="761">
        <f>SUM(G56:G71)</f>
        <v/>
      </c>
      <c r="H72" s="763" t="n"/>
      <c r="I72" s="761" t="inlineStr">
        <is>
          <t>合計</t>
        </is>
      </c>
      <c r="J72" s="761">
        <f>SUM(J56:J71)</f>
        <v/>
      </c>
      <c r="K72" s="762" t="n"/>
      <c r="L72" s="761" t="inlineStr">
        <is>
          <t>合計</t>
        </is>
      </c>
      <c r="M72" s="761">
        <f>SUM(M56:M71)</f>
        <v/>
      </c>
      <c r="N72" s="685" t="n"/>
      <c r="O72" s="1514" t="inlineStr">
        <is>
          <t>➡合計</t>
        </is>
      </c>
      <c r="P72" s="765">
        <f>SUM(D72+G72+J72+M72)</f>
        <v/>
      </c>
      <c r="Q72" s="766" t="inlineStr">
        <is>
          <t>差</t>
        </is>
      </c>
      <c r="R72" s="767" t="n"/>
    </row>
    <row r="73" ht="13.15" customHeight="1" s="1428">
      <c r="C73" s="761" t="inlineStr">
        <is>
          <t>可能数</t>
        </is>
      </c>
      <c r="D73" s="761">
        <f>151*5</f>
        <v/>
      </c>
      <c r="E73" s="762" t="n"/>
      <c r="F73" s="761" t="inlineStr">
        <is>
          <t>可能数</t>
        </is>
      </c>
      <c r="G73" s="761">
        <f>151*4</f>
        <v/>
      </c>
      <c r="H73" s="763" t="n"/>
      <c r="I73" s="761" t="inlineStr">
        <is>
          <t>可能数</t>
        </is>
      </c>
      <c r="J73" s="761">
        <f>151*8</f>
        <v/>
      </c>
      <c r="K73" s="762" t="n"/>
      <c r="L73" s="761" t="inlineStr">
        <is>
          <t>可能数</t>
        </is>
      </c>
      <c r="M73" s="761">
        <f>151*6</f>
        <v/>
      </c>
      <c r="N73" s="685" t="n"/>
      <c r="O73" s="768" t="inlineStr">
        <is>
          <t>(昨年)</t>
        </is>
      </c>
      <c r="P73" s="765">
        <f>D75+G75+J75+M75</f>
        <v/>
      </c>
      <c r="Q73" s="769">
        <f>P72-P73</f>
        <v/>
      </c>
      <c r="R73" s="700" t="n"/>
    </row>
    <row r="74" ht="6" customHeight="1" s="1428">
      <c r="C74" s="762" t="n"/>
      <c r="D74" s="762" t="n"/>
      <c r="E74" s="762" t="n"/>
      <c r="F74" s="762" t="n"/>
      <c r="G74" s="762" t="n"/>
      <c r="H74" s="763" t="n"/>
      <c r="I74" s="762" t="n"/>
      <c r="J74" s="762" t="n"/>
      <c r="K74" s="762" t="n"/>
      <c r="L74" s="762" t="n"/>
      <c r="M74" s="762" t="n"/>
      <c r="N74" s="685" t="n"/>
      <c r="O74" s="768" t="n"/>
      <c r="P74" s="765" t="n"/>
      <c r="Q74" s="700" t="n"/>
      <c r="R74" s="700" t="n"/>
    </row>
    <row r="75" ht="13.15" customHeight="1" s="1428">
      <c r="C75" s="770" t="inlineStr">
        <is>
          <t>（昨年）</t>
        </is>
      </c>
      <c r="D75" s="762" t="n">
        <v>527</v>
      </c>
      <c r="E75" s="762" t="n"/>
      <c r="F75" s="770" t="inlineStr">
        <is>
          <t>（昨年）</t>
        </is>
      </c>
      <c r="G75" s="762" t="n">
        <v>324</v>
      </c>
      <c r="H75" s="763" t="n"/>
      <c r="I75" s="770" t="inlineStr">
        <is>
          <t>（昨年）</t>
        </is>
      </c>
      <c r="J75" s="762" t="n">
        <v>520</v>
      </c>
      <c r="K75" s="762" t="n"/>
      <c r="L75" s="770" t="inlineStr">
        <is>
          <t>（昨年）</t>
        </is>
      </c>
      <c r="M75" s="762" t="n">
        <v>520</v>
      </c>
      <c r="N75" s="685" t="n"/>
      <c r="O75" s="768" t="n"/>
      <c r="P75" s="765" t="n"/>
      <c r="Q75" s="700" t="n"/>
      <c r="R75" s="700" t="n"/>
    </row>
    <row r="76" ht="13.15" customHeight="1" s="1428">
      <c r="C76" s="771" t="inlineStr">
        <is>
          <t>差</t>
        </is>
      </c>
      <c r="D76" s="772">
        <f>D72-D75</f>
        <v/>
      </c>
      <c r="E76" s="773" t="n"/>
      <c r="F76" s="771" t="inlineStr">
        <is>
          <t>差</t>
        </is>
      </c>
      <c r="G76" s="772">
        <f>G72-G75</f>
        <v/>
      </c>
      <c r="H76" s="774" t="n"/>
      <c r="I76" s="771" t="inlineStr">
        <is>
          <t>差</t>
        </is>
      </c>
      <c r="J76" s="772">
        <f>J72-J75</f>
        <v/>
      </c>
      <c r="K76" s="773" t="n"/>
      <c r="L76" s="771" t="inlineStr">
        <is>
          <t>差</t>
        </is>
      </c>
      <c r="M76" s="772">
        <f>M72-M75</f>
        <v/>
      </c>
      <c r="N76" s="685" t="n"/>
      <c r="O76" s="685" t="n"/>
      <c r="P76" s="685" t="n"/>
    </row>
    <row r="77" ht="13.15" customHeight="1" s="1428">
      <c r="C77" s="775" t="n"/>
      <c r="D77" s="775" t="n"/>
      <c r="E77" s="773" t="n"/>
      <c r="F77" s="775" t="n"/>
      <c r="G77" s="775" t="n"/>
      <c r="H77" s="774" t="n"/>
      <c r="I77" s="775" t="n"/>
      <c r="J77" s="775" t="n"/>
      <c r="K77" s="773" t="n"/>
      <c r="L77" s="775" t="n"/>
      <c r="M77" s="775" t="n"/>
      <c r="N77" s="685" t="n"/>
      <c r="O77" s="685" t="n"/>
      <c r="P77" s="685" t="n"/>
    </row>
    <row r="78" ht="20.25" customFormat="1" customHeight="1" s="1258" thickBot="1">
      <c r="B78" s="1257" t="inlineStr">
        <is>
          <t>３．担当者（●：変更・新規、★：飛び）</t>
        </is>
      </c>
    </row>
    <row r="79" ht="20.25" customHeight="1" s="1428" thickBot="1">
      <c r="A79" s="777" t="inlineStr">
        <is>
          <t>在校生数</t>
        </is>
      </c>
      <c r="B79" s="1259" t="inlineStr">
        <is>
          <t>梅光園</t>
        </is>
      </c>
      <c r="C79" s="1467" t="n"/>
      <c r="D79" s="1467" t="n"/>
      <c r="E79" s="1467" t="n"/>
      <c r="F79" s="1467" t="n"/>
      <c r="G79" s="1467" t="n"/>
      <c r="H79" s="1468" t="n"/>
      <c r="I79" s="777" t="inlineStr">
        <is>
          <t>在校生数</t>
        </is>
      </c>
      <c r="J79" s="1259" t="inlineStr">
        <is>
          <t>六本松</t>
        </is>
      </c>
      <c r="K79" s="1467" t="n"/>
      <c r="L79" s="1467" t="n"/>
      <c r="M79" s="1467" t="n"/>
      <c r="N79" s="1467" t="n"/>
      <c r="O79" s="1467" t="n"/>
      <c r="P79" s="1468" t="n"/>
      <c r="W79" s="751" t="n"/>
    </row>
    <row r="80" ht="20.25" customHeight="1" s="1428" thickBot="1" thickTop="1">
      <c r="B80" s="778" t="inlineStr">
        <is>
          <t>クラス</t>
        </is>
      </c>
      <c r="C80" s="779" t="inlineStr">
        <is>
          <t>担任</t>
        </is>
      </c>
      <c r="D80" s="780" t="inlineStr">
        <is>
          <t>国語</t>
        </is>
      </c>
      <c r="E80" s="781" t="inlineStr">
        <is>
          <t>数学</t>
        </is>
      </c>
      <c r="F80" s="781" t="inlineStr">
        <is>
          <t>社会</t>
        </is>
      </c>
      <c r="G80" s="781" t="inlineStr">
        <is>
          <t>理科</t>
        </is>
      </c>
      <c r="H80" s="782" t="inlineStr">
        <is>
          <t>英語</t>
        </is>
      </c>
      <c r="I80" s="697" t="n"/>
      <c r="J80" s="778" t="inlineStr">
        <is>
          <t>クラス</t>
        </is>
      </c>
      <c r="K80" s="779" t="inlineStr">
        <is>
          <t>担任</t>
        </is>
      </c>
      <c r="L80" s="780" t="inlineStr">
        <is>
          <t>国語</t>
        </is>
      </c>
      <c r="M80" s="781" t="inlineStr">
        <is>
          <t>算数</t>
        </is>
      </c>
      <c r="N80" s="781" t="inlineStr">
        <is>
          <t>社会</t>
        </is>
      </c>
      <c r="O80" s="781" t="inlineStr">
        <is>
          <t>理科</t>
        </is>
      </c>
      <c r="P80" s="783" t="inlineStr">
        <is>
          <t>算数講座</t>
        </is>
      </c>
      <c r="W80" s="697" t="n"/>
    </row>
    <row r="81" ht="20.25" customHeight="1" s="1428" thickTop="1">
      <c r="A81" s="784" t="n">
        <v>34</v>
      </c>
      <c r="B81" s="785" t="inlineStr">
        <is>
          <t>3A</t>
        </is>
      </c>
      <c r="C81" s="786" t="inlineStr">
        <is>
          <t>黒岩</t>
        </is>
      </c>
      <c r="D81" s="787" t="inlineStr">
        <is>
          <t>日高14</t>
        </is>
      </c>
      <c r="E81" s="1277" t="inlineStr">
        <is>
          <t>黒岩22</t>
        </is>
      </c>
      <c r="F81" s="1277" t="inlineStr">
        <is>
          <t>藤田16</t>
        </is>
      </c>
      <c r="G81" s="1277" t="inlineStr">
        <is>
          <t>和久16</t>
        </is>
      </c>
      <c r="H81" s="1281" t="inlineStr">
        <is>
          <t>土井下20</t>
        </is>
      </c>
      <c r="I81" s="788" t="n">
        <v>19</v>
      </c>
      <c r="J81" s="789" t="inlineStr">
        <is>
          <t>6年A</t>
        </is>
      </c>
      <c r="K81" s="790" t="inlineStr">
        <is>
          <t>日高</t>
        </is>
      </c>
      <c r="L81" s="791" t="inlineStr">
        <is>
          <t>日高17</t>
        </is>
      </c>
      <c r="M81" s="1277" t="inlineStr">
        <is>
          <t>黒岩23</t>
        </is>
      </c>
      <c r="N81" s="1277" t="inlineStr">
        <is>
          <t>藤田19</t>
        </is>
      </c>
      <c r="O81" s="1277" t="inlineStr">
        <is>
          <t>和久17</t>
        </is>
      </c>
      <c r="P81" s="792" t="n"/>
      <c r="T81" s="677" t="inlineStr">
        <is>
          <t>国</t>
        </is>
      </c>
      <c r="U81" s="677">
        <f>14+13+13+8+8+8+7+7+17+17+7+7+7+7+7+13+13+8+8+7+7+17+7+7+7+13+13+8+8+7+7+17+7+7+7</f>
        <v/>
      </c>
      <c r="W81" s="751" t="n"/>
    </row>
    <row r="82" ht="20.25" customHeight="1" s="1428">
      <c r="A82" s="784" t="n">
        <v>48</v>
      </c>
      <c r="B82" s="785" t="inlineStr">
        <is>
          <t>3B</t>
        </is>
      </c>
      <c r="C82" s="786" t="inlineStr">
        <is>
          <t>岡野</t>
        </is>
      </c>
      <c r="D82" s="787" t="inlineStr">
        <is>
          <t>日高13</t>
        </is>
      </c>
      <c r="E82" s="1277" t="inlineStr">
        <is>
          <t>柿木18</t>
        </is>
      </c>
      <c r="F82" s="1277" t="inlineStr">
        <is>
          <t>岡野13</t>
        </is>
      </c>
      <c r="G82" s="1277" t="inlineStr">
        <is>
          <t>平野13</t>
        </is>
      </c>
      <c r="H82" s="1281" t="inlineStr">
        <is>
          <t>土井下15</t>
        </is>
      </c>
      <c r="I82" s="788" t="n">
        <v>23</v>
      </c>
      <c r="J82" s="793" t="inlineStr">
        <is>
          <t>6年B</t>
        </is>
      </c>
      <c r="K82" s="794" t="inlineStr">
        <is>
          <t>柿木</t>
        </is>
      </c>
      <c r="L82" s="795" t="inlineStr">
        <is>
          <t>日高17</t>
        </is>
      </c>
      <c r="M82" s="795" t="inlineStr">
        <is>
          <t>柿木21</t>
        </is>
      </c>
      <c r="N82" s="795" t="inlineStr">
        <is>
          <t>岡野16</t>
        </is>
      </c>
      <c r="O82" s="796" t="inlineStr">
        <is>
          <t>平野16</t>
        </is>
      </c>
      <c r="P82" s="797" t="n"/>
      <c r="T82" s="677" t="inlineStr">
        <is>
          <t>数</t>
        </is>
      </c>
      <c r="U82" s="677">
        <f>22+18+18+13+12+12+10+13+23+21+9+7+7+7+7+7+6+20+18+13+12+13+10+21+9+7+7+7+6+20+18+13+12+13+10+21+9+7+7+7+6</f>
        <v/>
      </c>
      <c r="W82" s="751" t="n"/>
    </row>
    <row r="83" ht="20.25" customHeight="1" s="1428" thickBot="1">
      <c r="A83" s="784" t="n">
        <v>44</v>
      </c>
      <c r="B83" s="798" t="inlineStr">
        <is>
          <t>3C</t>
        </is>
      </c>
      <c r="C83" s="799" t="inlineStr">
        <is>
          <t>副島</t>
        </is>
      </c>
      <c r="D83" s="800" t="inlineStr">
        <is>
          <t>副島13</t>
        </is>
      </c>
      <c r="E83" s="801" t="inlineStr">
        <is>
          <t>柿木18</t>
        </is>
      </c>
      <c r="F83" s="801" t="inlineStr">
        <is>
          <t>岡野13</t>
        </is>
      </c>
      <c r="G83" s="801" t="inlineStr">
        <is>
          <t>栗原13</t>
        </is>
      </c>
      <c r="H83" s="802" t="inlineStr">
        <is>
          <t>堀15</t>
        </is>
      </c>
      <c r="I83" s="788" t="n">
        <v>27</v>
      </c>
      <c r="J83" s="798" t="inlineStr">
        <is>
          <t>6年C</t>
        </is>
      </c>
      <c r="K83" s="799" t="inlineStr">
        <is>
          <t>平野</t>
        </is>
      </c>
      <c r="L83" s="803" t="inlineStr">
        <is>
          <t>日高7</t>
        </is>
      </c>
      <c r="M83" s="801" t="inlineStr">
        <is>
          <t>堀9</t>
        </is>
      </c>
      <c r="N83" s="804" t="inlineStr">
        <is>
          <t>●副島8</t>
        </is>
      </c>
      <c r="O83" s="801" t="inlineStr">
        <is>
          <t>平野8</t>
        </is>
      </c>
      <c r="P83" s="805" t="n"/>
      <c r="T83" s="677" t="inlineStr">
        <is>
          <t>社</t>
        </is>
      </c>
      <c r="U83" s="677">
        <f>16+13+13+10+10+10+7+7+19+16+8+7+7+3+3+6+13+13+10+10+7+7+16+8+7+3+6+13+13+10+10+7+7+16+8+7+3+6</f>
        <v/>
      </c>
      <c r="W83" s="697" t="n"/>
    </row>
    <row r="84" ht="20.25" customHeight="1" s="1428">
      <c r="A84" s="784" t="n">
        <v>30</v>
      </c>
      <c r="B84" s="806" t="inlineStr">
        <is>
          <t>2特</t>
        </is>
      </c>
      <c r="C84" s="807" t="inlineStr">
        <is>
          <t>土井下</t>
        </is>
      </c>
      <c r="D84" s="808" t="inlineStr">
        <is>
          <t>長本8</t>
        </is>
      </c>
      <c r="E84" s="809" t="inlineStr">
        <is>
          <t>黒岩13</t>
        </is>
      </c>
      <c r="F84" s="809" t="inlineStr">
        <is>
          <t>藤田10</t>
        </is>
      </c>
      <c r="G84" s="809" t="inlineStr">
        <is>
          <t>和久11</t>
        </is>
      </c>
      <c r="H84" s="810" t="inlineStr">
        <is>
          <t>土井下14</t>
        </is>
      </c>
      <c r="I84" s="788" t="n">
        <v>31</v>
      </c>
      <c r="J84" s="785" t="inlineStr">
        <is>
          <t>5HA</t>
        </is>
      </c>
      <c r="K84" s="786" t="inlineStr">
        <is>
          <t>日高</t>
        </is>
      </c>
      <c r="L84" s="787" t="inlineStr">
        <is>
          <t>日高7</t>
        </is>
      </c>
      <c r="M84" s="1277" t="inlineStr">
        <is>
          <t>柿木7</t>
        </is>
      </c>
      <c r="N84" s="1277" t="inlineStr">
        <is>
          <t>岡野7</t>
        </is>
      </c>
      <c r="O84" s="1277" t="inlineStr">
        <is>
          <t>平野7</t>
        </is>
      </c>
      <c r="P84" s="811" t="inlineStr">
        <is>
          <t>柿木7</t>
        </is>
      </c>
      <c r="T84" s="677" t="inlineStr">
        <is>
          <t>理</t>
        </is>
      </c>
      <c r="U84" s="677">
        <f>16+13+13+11+9+9+7+7+17+16+8+7+7+3+3+6+13+13+11+9+7+7+16+8+7+3+6+13+13+11+9+7+7+16+8+7+3+6</f>
        <v/>
      </c>
      <c r="W84" s="751" t="n"/>
    </row>
    <row r="85" ht="20.25" customHeight="1" s="1428" thickBot="1">
      <c r="A85" s="784" t="n">
        <v>37</v>
      </c>
      <c r="B85" s="785" t="inlineStr">
        <is>
          <t>2A(S)</t>
        </is>
      </c>
      <c r="C85" s="786" t="inlineStr">
        <is>
          <t>栗原</t>
        </is>
      </c>
      <c r="D85" s="791" t="inlineStr">
        <is>
          <t>副島8</t>
        </is>
      </c>
      <c r="E85" s="1277" t="inlineStr">
        <is>
          <t>平野12</t>
        </is>
      </c>
      <c r="F85" s="1277" t="inlineStr">
        <is>
          <t>岡野10</t>
        </is>
      </c>
      <c r="G85" s="1277" t="inlineStr">
        <is>
          <t>栗原9</t>
        </is>
      </c>
      <c r="H85" s="1281" t="inlineStr">
        <is>
          <t>堀12</t>
        </is>
      </c>
      <c r="I85" s="788" t="n">
        <v>22</v>
      </c>
      <c r="J85" s="793" t="inlineStr">
        <is>
          <t>5HB</t>
        </is>
      </c>
      <c r="K85" s="812" t="inlineStr">
        <is>
          <t>平野</t>
        </is>
      </c>
      <c r="L85" s="813" t="inlineStr">
        <is>
          <t>日高7</t>
        </is>
      </c>
      <c r="M85" s="814" t="inlineStr">
        <is>
          <t>堀7</t>
        </is>
      </c>
      <c r="N85" s="814" t="inlineStr">
        <is>
          <t>長本7</t>
        </is>
      </c>
      <c r="O85" s="814" t="inlineStr">
        <is>
          <t>平野7</t>
        </is>
      </c>
      <c r="P85" s="815" t="n"/>
      <c r="T85" s="677" t="inlineStr">
        <is>
          <t>英</t>
        </is>
      </c>
      <c r="U85" s="677">
        <f>20+15+15+16+12+12+10+12+18+15+16+12+12+10+18+15+16+12+12+10</f>
        <v/>
      </c>
      <c r="W85" s="751" t="n"/>
    </row>
    <row r="86" ht="20.25" customHeight="1" s="1428" thickBot="1">
      <c r="A86" s="784" t="n">
        <v>29</v>
      </c>
      <c r="B86" s="816" t="inlineStr">
        <is>
          <t>2B(S)</t>
        </is>
      </c>
      <c r="C86" s="812" t="inlineStr">
        <is>
          <t>堀</t>
        </is>
      </c>
      <c r="D86" s="817" t="inlineStr">
        <is>
          <t>副島8</t>
        </is>
      </c>
      <c r="E86" s="818" t="inlineStr">
        <is>
          <t>●倉光12</t>
        </is>
      </c>
      <c r="F86" s="814" t="inlineStr">
        <is>
          <t>長本10</t>
        </is>
      </c>
      <c r="G86" s="814" t="inlineStr">
        <is>
          <t>栗原9</t>
        </is>
      </c>
      <c r="H86" s="819" t="inlineStr">
        <is>
          <t>堀12</t>
        </is>
      </c>
      <c r="I86" s="788" t="n">
        <v>35</v>
      </c>
      <c r="J86" s="820" t="inlineStr">
        <is>
          <t>4年</t>
        </is>
      </c>
      <c r="K86" s="790" t="inlineStr">
        <is>
          <t>柿木</t>
        </is>
      </c>
      <c r="L86" s="787" t="inlineStr">
        <is>
          <t>日高7</t>
        </is>
      </c>
      <c r="M86" s="1277" t="inlineStr">
        <is>
          <t>柿木7</t>
        </is>
      </c>
      <c r="N86" s="821" t="inlineStr">
        <is>
          <t>●長本3</t>
        </is>
      </c>
      <c r="O86" s="821" t="inlineStr">
        <is>
          <t>●栗原3</t>
        </is>
      </c>
      <c r="P86" s="1281" t="inlineStr">
        <is>
          <t>平野6</t>
        </is>
      </c>
      <c r="W86" s="751" t="n"/>
    </row>
    <row r="87" ht="20.25" customHeight="1" s="1428" thickBot="1" thickTop="1">
      <c r="A87" s="784" t="n">
        <v>40</v>
      </c>
      <c r="B87" s="806" t="inlineStr">
        <is>
          <t>1A</t>
        </is>
      </c>
      <c r="C87" s="807" t="inlineStr">
        <is>
          <t>黒岩</t>
        </is>
      </c>
      <c r="D87" s="808" t="inlineStr">
        <is>
          <t>副島7</t>
        </is>
      </c>
      <c r="E87" s="809" t="inlineStr">
        <is>
          <t>黒岩13</t>
        </is>
      </c>
      <c r="F87" s="809" t="inlineStr">
        <is>
          <t>岡野7</t>
        </is>
      </c>
      <c r="G87" s="809" t="inlineStr">
        <is>
          <t>栗原7</t>
        </is>
      </c>
      <c r="H87" s="810" t="inlineStr">
        <is>
          <t>館長・堀12</t>
        </is>
      </c>
      <c r="I87" s="788" t="n"/>
      <c r="J87" s="1515" t="inlineStr">
        <is>
          <t>5年特別講座</t>
        </is>
      </c>
      <c r="K87" s="1470" t="n"/>
      <c r="L87" s="822" t="inlineStr">
        <is>
          <t>社会</t>
        </is>
      </c>
      <c r="M87" s="823" t="inlineStr">
        <is>
          <t>●岡野6</t>
        </is>
      </c>
      <c r="N87" s="824" t="inlineStr">
        <is>
          <t>理科</t>
        </is>
      </c>
      <c r="O87" s="823" t="inlineStr">
        <is>
          <t>●平野6</t>
        </is>
      </c>
      <c r="P87" s="825" t="n"/>
      <c r="W87" s="751" t="n"/>
    </row>
    <row r="88" ht="20.25" customHeight="1" s="1428" thickBot="1">
      <c r="A88" s="784" t="n">
        <v>31</v>
      </c>
      <c r="B88" s="798" t="inlineStr">
        <is>
          <t>1B(S)</t>
        </is>
      </c>
      <c r="C88" s="799" t="inlineStr">
        <is>
          <t>長本</t>
        </is>
      </c>
      <c r="D88" s="800" t="inlineStr">
        <is>
          <t>長本7</t>
        </is>
      </c>
      <c r="E88" s="801" t="inlineStr">
        <is>
          <t>平野10</t>
        </is>
      </c>
      <c r="F88" s="801" t="inlineStr">
        <is>
          <t>副島7</t>
        </is>
      </c>
      <c r="G88" s="801" t="inlineStr">
        <is>
          <t>栗原7</t>
        </is>
      </c>
      <c r="H88" s="802" t="inlineStr">
        <is>
          <t>堀10</t>
        </is>
      </c>
      <c r="I88" s="826" t="n"/>
      <c r="W88" s="751" t="n"/>
    </row>
    <row r="89" ht="20.25" customHeight="1" s="1428">
      <c r="A89" s="784" t="n"/>
      <c r="B89" s="1251" t="n"/>
      <c r="C89" s="697" t="n"/>
      <c r="D89" s="697" t="n"/>
      <c r="E89" s="751" t="n"/>
      <c r="F89" s="751" t="n"/>
      <c r="G89" s="751" t="n"/>
      <c r="H89" s="697" t="n"/>
      <c r="I89" s="788" t="n"/>
      <c r="J89" s="751" t="n"/>
      <c r="K89" s="1251" t="n"/>
      <c r="M89" s="697" t="n"/>
      <c r="N89" s="697" t="n"/>
      <c r="O89" s="697" t="n"/>
      <c r="P89" s="697" t="n"/>
      <c r="W89" s="697" t="n"/>
    </row>
    <row r="90" ht="20.25" customHeight="1" s="1428" thickBot="1">
      <c r="A90" s="784" t="n"/>
      <c r="I90" s="788" t="n"/>
      <c r="J90" s="756" t="n"/>
      <c r="K90" s="756" t="n"/>
      <c r="L90" s="697" t="n"/>
      <c r="M90" s="697" t="n"/>
      <c r="N90" s="697" t="n"/>
      <c r="O90" s="697" t="n"/>
      <c r="P90" s="697" t="n"/>
      <c r="W90" s="751" t="n"/>
    </row>
    <row r="91" ht="20.25" customHeight="1" s="1428" thickBot="1">
      <c r="A91" s="784" t="n"/>
      <c r="B91" s="1516" t="inlineStr">
        <is>
          <t>高宮</t>
        </is>
      </c>
      <c r="C91" s="1467" t="n"/>
      <c r="D91" s="1467" t="n"/>
      <c r="E91" s="1467" t="n"/>
      <c r="F91" s="1467" t="n"/>
      <c r="G91" s="1467" t="n"/>
      <c r="H91" s="1473" t="n"/>
      <c r="I91" s="788" t="n"/>
      <c r="J91" s="1516" t="inlineStr">
        <is>
          <t>西新</t>
        </is>
      </c>
      <c r="K91" s="1467" t="n"/>
      <c r="L91" s="1467" t="n"/>
      <c r="M91" s="1467" t="n"/>
      <c r="N91" s="1467" t="n"/>
      <c r="O91" s="1467" t="n"/>
      <c r="P91" s="1473" t="n"/>
      <c r="W91" s="697" t="n"/>
    </row>
    <row r="92" ht="20.25" customHeight="1" s="1428" thickBot="1" thickTop="1">
      <c r="A92" s="784" t="n"/>
      <c r="B92" s="828" t="inlineStr">
        <is>
          <t>クラス</t>
        </is>
      </c>
      <c r="C92" s="829" t="inlineStr">
        <is>
          <t>担任</t>
        </is>
      </c>
      <c r="D92" s="830" t="inlineStr">
        <is>
          <t>国語</t>
        </is>
      </c>
      <c r="E92" s="831" t="inlineStr">
        <is>
          <t>数学</t>
        </is>
      </c>
      <c r="F92" s="831" t="inlineStr">
        <is>
          <t>社会</t>
        </is>
      </c>
      <c r="G92" s="831" t="inlineStr">
        <is>
          <t>理科</t>
        </is>
      </c>
      <c r="H92" s="832" t="inlineStr">
        <is>
          <t>英語</t>
        </is>
      </c>
      <c r="I92" s="788" t="n"/>
      <c r="J92" s="828" t="inlineStr">
        <is>
          <t>クラス</t>
        </is>
      </c>
      <c r="K92" s="829" t="inlineStr">
        <is>
          <t>担任</t>
        </is>
      </c>
      <c r="L92" s="830" t="inlineStr">
        <is>
          <t>国語</t>
        </is>
      </c>
      <c r="M92" s="831" t="inlineStr">
        <is>
          <t>数学</t>
        </is>
      </c>
      <c r="N92" s="831" t="inlineStr">
        <is>
          <t>社会</t>
        </is>
      </c>
      <c r="O92" s="831" t="inlineStr">
        <is>
          <t>理科</t>
        </is>
      </c>
      <c r="P92" s="832" t="inlineStr">
        <is>
          <t>英語</t>
        </is>
      </c>
      <c r="W92" s="751" t="n"/>
    </row>
    <row r="93" ht="20.25" customHeight="1" s="1428" thickTop="1">
      <c r="A93" s="784" t="n">
        <v>19</v>
      </c>
      <c r="B93" s="785" t="inlineStr">
        <is>
          <t>3A</t>
        </is>
      </c>
      <c r="C93" s="833" t="inlineStr">
        <is>
          <t>小野</t>
        </is>
      </c>
      <c r="D93" s="787" t="inlineStr">
        <is>
          <t>佐藤13</t>
        </is>
      </c>
      <c r="E93" s="1277" t="inlineStr">
        <is>
          <t>小野18</t>
        </is>
      </c>
      <c r="F93" s="1277" t="inlineStr">
        <is>
          <t>野口13</t>
        </is>
      </c>
      <c r="G93" s="1277" t="inlineStr">
        <is>
          <t>神田13</t>
        </is>
      </c>
      <c r="H93" s="1281" t="inlineStr">
        <is>
          <t>中嶋15</t>
        </is>
      </c>
      <c r="I93" s="788" t="n">
        <v>22</v>
      </c>
      <c r="J93" s="834" t="inlineStr">
        <is>
          <t>3A</t>
        </is>
      </c>
      <c r="K93" s="786" t="inlineStr">
        <is>
          <t>髙本</t>
        </is>
      </c>
      <c r="L93" s="787" t="inlineStr">
        <is>
          <t>馬渡13</t>
        </is>
      </c>
      <c r="M93" s="1277" t="inlineStr">
        <is>
          <t>髙本18</t>
        </is>
      </c>
      <c r="N93" s="1277" t="inlineStr">
        <is>
          <t>右田13</t>
        </is>
      </c>
      <c r="O93" s="1277" t="inlineStr">
        <is>
          <t>田代13</t>
        </is>
      </c>
      <c r="P93" s="1281" t="inlineStr">
        <is>
          <t>中村15</t>
        </is>
      </c>
      <c r="W93" s="751" t="n"/>
    </row>
    <row r="94" ht="20.25" customHeight="1" s="1428" thickBot="1">
      <c r="A94" s="784" t="n">
        <v>26</v>
      </c>
      <c r="B94" s="816" t="inlineStr">
        <is>
          <t>3B</t>
        </is>
      </c>
      <c r="C94" s="835" t="inlineStr">
        <is>
          <t>中嶋</t>
        </is>
      </c>
      <c r="D94" s="817" t="inlineStr">
        <is>
          <t>佐藤13</t>
        </is>
      </c>
      <c r="E94" s="814" t="inlineStr">
        <is>
          <t>平井18</t>
        </is>
      </c>
      <c r="F94" s="814" t="inlineStr">
        <is>
          <t>野口13</t>
        </is>
      </c>
      <c r="G94" s="814" t="inlineStr">
        <is>
          <t>神田13</t>
        </is>
      </c>
      <c r="H94" s="819" t="inlineStr">
        <is>
          <t>中嶋15</t>
        </is>
      </c>
      <c r="I94" s="788" t="n">
        <v>34</v>
      </c>
      <c r="J94" s="836" t="inlineStr">
        <is>
          <t>3B</t>
        </is>
      </c>
      <c r="K94" s="812" t="inlineStr">
        <is>
          <t>中村</t>
        </is>
      </c>
      <c r="L94" s="817" t="inlineStr">
        <is>
          <t>馬渡13</t>
        </is>
      </c>
      <c r="M94" s="814" t="inlineStr">
        <is>
          <t>伊地知18</t>
        </is>
      </c>
      <c r="N94" s="814" t="inlineStr">
        <is>
          <t>右田13</t>
        </is>
      </c>
      <c r="O94" s="814" t="inlineStr">
        <is>
          <t>田代13</t>
        </is>
      </c>
      <c r="P94" s="819" t="inlineStr">
        <is>
          <t>中村15</t>
        </is>
      </c>
      <c r="W94" s="751" t="n"/>
    </row>
    <row r="95" ht="20.25" customHeight="1" s="1428">
      <c r="A95" s="784" t="n">
        <v>22</v>
      </c>
      <c r="B95" s="837" t="inlineStr">
        <is>
          <t>2特</t>
        </is>
      </c>
      <c r="C95" s="838" t="inlineStr">
        <is>
          <t>神田</t>
        </is>
      </c>
      <c r="D95" s="839" t="inlineStr">
        <is>
          <t>★長本8</t>
        </is>
      </c>
      <c r="E95" s="809" t="inlineStr">
        <is>
          <t>小野13</t>
        </is>
      </c>
      <c r="F95" s="809" t="inlineStr">
        <is>
          <t>佐藤10</t>
        </is>
      </c>
      <c r="G95" s="809" t="inlineStr">
        <is>
          <t>神田11</t>
        </is>
      </c>
      <c r="H95" s="810" t="inlineStr">
        <is>
          <t>中嶋14</t>
        </is>
      </c>
      <c r="I95" s="788" t="n">
        <v>27</v>
      </c>
      <c r="J95" s="837" t="inlineStr">
        <is>
          <t>2特</t>
        </is>
      </c>
      <c r="K95" s="807" t="inlineStr">
        <is>
          <t>髙本</t>
        </is>
      </c>
      <c r="L95" s="808" t="inlineStr">
        <is>
          <t>馬渡8</t>
        </is>
      </c>
      <c r="M95" s="809" t="inlineStr">
        <is>
          <t>髙本13</t>
        </is>
      </c>
      <c r="N95" s="809" t="inlineStr">
        <is>
          <t>倉光10</t>
        </is>
      </c>
      <c r="O95" s="809" t="inlineStr">
        <is>
          <t>田代11</t>
        </is>
      </c>
      <c r="P95" s="810" t="inlineStr">
        <is>
          <t>中村14</t>
        </is>
      </c>
      <c r="W95" s="751" t="n"/>
    </row>
    <row r="96" ht="20.25" customHeight="1" s="1428" thickBot="1">
      <c r="A96" s="784" t="n">
        <v>33</v>
      </c>
      <c r="B96" s="836" t="inlineStr">
        <is>
          <t>2A</t>
        </is>
      </c>
      <c r="C96" s="835" t="inlineStr">
        <is>
          <t>野口</t>
        </is>
      </c>
      <c r="D96" s="817" t="inlineStr">
        <is>
          <t>佐藤8</t>
        </is>
      </c>
      <c r="E96" s="814" t="inlineStr">
        <is>
          <t>小野12</t>
        </is>
      </c>
      <c r="F96" s="814" t="inlineStr">
        <is>
          <t>野口10</t>
        </is>
      </c>
      <c r="G96" s="840" t="inlineStr">
        <is>
          <t>●平井9</t>
        </is>
      </c>
      <c r="H96" s="819" t="inlineStr">
        <is>
          <t>中嶋12</t>
        </is>
      </c>
      <c r="I96" s="788" t="n">
        <v>40</v>
      </c>
      <c r="J96" s="836" t="inlineStr">
        <is>
          <t>2A</t>
        </is>
      </c>
      <c r="K96" s="812" t="inlineStr">
        <is>
          <t>馬渡</t>
        </is>
      </c>
      <c r="L96" s="817" t="inlineStr">
        <is>
          <t>馬渡8</t>
        </is>
      </c>
      <c r="M96" s="814" t="inlineStr">
        <is>
          <t>伊地知12</t>
        </is>
      </c>
      <c r="N96" s="814" t="inlineStr">
        <is>
          <t>倉光10</t>
        </is>
      </c>
      <c r="O96" s="814" t="inlineStr">
        <is>
          <t>田代9</t>
        </is>
      </c>
      <c r="P96" s="819" t="inlineStr">
        <is>
          <t>中村12</t>
        </is>
      </c>
      <c r="W96" s="751" t="n"/>
    </row>
    <row r="97" ht="20.25" customHeight="1" s="1428">
      <c r="A97" s="784" t="n">
        <v>16</v>
      </c>
      <c r="B97" s="806" t="inlineStr">
        <is>
          <t>1A</t>
        </is>
      </c>
      <c r="C97" s="841" t="inlineStr">
        <is>
          <t>平井</t>
        </is>
      </c>
      <c r="D97" s="842" t="inlineStr">
        <is>
          <t>佐藤7</t>
        </is>
      </c>
      <c r="E97" s="809" t="inlineStr">
        <is>
          <t>小野13</t>
        </is>
      </c>
      <c r="F97" s="809" t="inlineStr">
        <is>
          <t>野口7</t>
        </is>
      </c>
      <c r="G97" s="809" t="inlineStr">
        <is>
          <t>平井７</t>
        </is>
      </c>
      <c r="H97" s="810" t="inlineStr">
        <is>
          <t>中嶋12</t>
        </is>
      </c>
      <c r="I97" s="788" t="n">
        <v>30</v>
      </c>
      <c r="J97" s="837" t="inlineStr">
        <is>
          <t>1A</t>
        </is>
      </c>
      <c r="K97" s="807" t="inlineStr">
        <is>
          <t>中村</t>
        </is>
      </c>
      <c r="L97" s="842" t="inlineStr">
        <is>
          <t>馬渡7</t>
        </is>
      </c>
      <c r="M97" s="843" t="inlineStr">
        <is>
          <t>伊地知13</t>
        </is>
      </c>
      <c r="N97" s="844" t="inlineStr">
        <is>
          <t>●倉光7</t>
        </is>
      </c>
      <c r="O97" s="844" t="inlineStr">
        <is>
          <t>●栗原7</t>
        </is>
      </c>
      <c r="P97" s="810" t="inlineStr">
        <is>
          <t>中村12</t>
        </is>
      </c>
      <c r="W97" s="751" t="n"/>
    </row>
    <row r="98" ht="20.25" customHeight="1" s="1428" thickBot="1">
      <c r="A98" s="784" t="n">
        <v>20</v>
      </c>
      <c r="B98" s="845" t="inlineStr">
        <is>
          <t>1B</t>
        </is>
      </c>
      <c r="C98" s="846" t="inlineStr">
        <is>
          <t>中嶋</t>
        </is>
      </c>
      <c r="D98" s="847" t="inlineStr">
        <is>
          <t>★長本7</t>
        </is>
      </c>
      <c r="E98" s="848" t="inlineStr">
        <is>
          <t>平井10</t>
        </is>
      </c>
      <c r="F98" s="848" t="inlineStr">
        <is>
          <t>佐藤7</t>
        </is>
      </c>
      <c r="G98" s="848" t="inlineStr">
        <is>
          <t>神田7</t>
        </is>
      </c>
      <c r="H98" s="849" t="inlineStr">
        <is>
          <t>中嶋10</t>
        </is>
      </c>
      <c r="I98" s="788" t="n">
        <v>17</v>
      </c>
      <c r="J98" s="850" t="inlineStr">
        <is>
          <t>1B</t>
        </is>
      </c>
      <c r="K98" s="851" t="inlineStr">
        <is>
          <t>倉光</t>
        </is>
      </c>
      <c r="L98" s="847" t="inlineStr">
        <is>
          <t>●副島7</t>
        </is>
      </c>
      <c r="M98" s="848" t="inlineStr">
        <is>
          <t>伊地知10</t>
        </is>
      </c>
      <c r="N98" s="848" t="inlineStr">
        <is>
          <t>倉光7</t>
        </is>
      </c>
      <c r="O98" s="852" t="inlineStr">
        <is>
          <t>★栗原7</t>
        </is>
      </c>
      <c r="P98" s="849" t="inlineStr">
        <is>
          <t>中村10</t>
        </is>
      </c>
      <c r="W98" s="751" t="n"/>
    </row>
    <row r="99" ht="20.25" customHeight="1" s="1428" thickTop="1">
      <c r="A99" s="784" t="n"/>
      <c r="B99" s="853" t="inlineStr">
        <is>
          <t>クラス</t>
        </is>
      </c>
      <c r="C99" s="854" t="inlineStr">
        <is>
          <t>担任</t>
        </is>
      </c>
      <c r="D99" s="855" t="inlineStr">
        <is>
          <t>国語</t>
        </is>
      </c>
      <c r="E99" s="856" t="inlineStr">
        <is>
          <t>算数</t>
        </is>
      </c>
      <c r="F99" s="856" t="inlineStr">
        <is>
          <t>社会</t>
        </is>
      </c>
      <c r="G99" s="857" t="inlineStr">
        <is>
          <t>理科</t>
        </is>
      </c>
      <c r="H99" s="858" t="inlineStr">
        <is>
          <t>算数講座</t>
        </is>
      </c>
      <c r="I99" s="788" t="n"/>
      <c r="J99" s="859" t="inlineStr">
        <is>
          <t>クラス</t>
        </is>
      </c>
      <c r="K99" s="860" t="inlineStr">
        <is>
          <t>担任</t>
        </is>
      </c>
      <c r="L99" s="861" t="inlineStr">
        <is>
          <t>国語</t>
        </is>
      </c>
      <c r="M99" s="862" t="inlineStr">
        <is>
          <t>算数</t>
        </is>
      </c>
      <c r="N99" s="862" t="inlineStr">
        <is>
          <t>社会</t>
        </is>
      </c>
      <c r="O99" s="863" t="inlineStr">
        <is>
          <t>理科</t>
        </is>
      </c>
      <c r="P99" s="864" t="inlineStr">
        <is>
          <t>算数講座</t>
        </is>
      </c>
    </row>
    <row r="100" ht="20.25" customHeight="1" s="1428">
      <c r="A100" s="784" t="n">
        <v>34</v>
      </c>
      <c r="B100" s="793" t="inlineStr">
        <is>
          <t>6受</t>
        </is>
      </c>
      <c r="C100" s="865" t="inlineStr">
        <is>
          <t>佐藤</t>
        </is>
      </c>
      <c r="D100" s="866" t="inlineStr">
        <is>
          <t>佐藤17</t>
        </is>
      </c>
      <c r="E100" s="749" t="inlineStr">
        <is>
          <t>小野21</t>
        </is>
      </c>
      <c r="F100" s="749" t="inlineStr">
        <is>
          <t>野口16</t>
        </is>
      </c>
      <c r="G100" s="749" t="inlineStr">
        <is>
          <t>神田16</t>
        </is>
      </c>
      <c r="H100" s="867" t="n"/>
      <c r="I100" s="788" t="n">
        <v>31</v>
      </c>
      <c r="J100" s="793" t="inlineStr">
        <is>
          <t>6受</t>
        </is>
      </c>
      <c r="K100" s="794" t="inlineStr">
        <is>
          <t>馬渡</t>
        </is>
      </c>
      <c r="L100" s="866" t="inlineStr">
        <is>
          <t>馬渡17</t>
        </is>
      </c>
      <c r="M100" s="749" t="inlineStr">
        <is>
          <t>髙本21</t>
        </is>
      </c>
      <c r="N100" s="749" t="inlineStr">
        <is>
          <t>右田16</t>
        </is>
      </c>
      <c r="O100" s="868" t="inlineStr">
        <is>
          <t>田代16</t>
        </is>
      </c>
      <c r="P100" s="867" t="n"/>
    </row>
    <row r="101" ht="20.25" customHeight="1" s="1428" thickBot="1">
      <c r="A101" s="784" t="n">
        <v>19</v>
      </c>
      <c r="B101" s="798" t="inlineStr">
        <is>
          <t>6通</t>
        </is>
      </c>
      <c r="C101" s="869" t="inlineStr">
        <is>
          <t>野口</t>
        </is>
      </c>
      <c r="D101" s="870" t="inlineStr">
        <is>
          <t>●長本7</t>
        </is>
      </c>
      <c r="E101" s="801" t="inlineStr">
        <is>
          <t>平井9</t>
        </is>
      </c>
      <c r="F101" s="801" t="inlineStr">
        <is>
          <t>野口8</t>
        </is>
      </c>
      <c r="G101" s="801" t="inlineStr">
        <is>
          <t>神田8</t>
        </is>
      </c>
      <c r="H101" s="825" t="n"/>
      <c r="I101" s="788" t="n">
        <v>23</v>
      </c>
      <c r="J101" s="798" t="inlineStr">
        <is>
          <t>6通</t>
        </is>
      </c>
      <c r="K101" s="799" t="inlineStr">
        <is>
          <t>右田</t>
        </is>
      </c>
      <c r="L101" s="870" t="inlineStr">
        <is>
          <t>●副島7</t>
        </is>
      </c>
      <c r="M101" s="801" t="inlineStr">
        <is>
          <t>伊地知9</t>
        </is>
      </c>
      <c r="N101" s="801" t="inlineStr">
        <is>
          <t>右田8</t>
        </is>
      </c>
      <c r="O101" s="801" t="inlineStr">
        <is>
          <t>田代8</t>
        </is>
      </c>
      <c r="P101" s="825" t="n"/>
    </row>
    <row r="102" ht="20.25" customHeight="1" s="1428" thickBot="1">
      <c r="A102" s="784" t="n">
        <v>23</v>
      </c>
      <c r="B102" s="798" t="inlineStr">
        <is>
          <t>5H</t>
        </is>
      </c>
      <c r="C102" s="869" t="inlineStr">
        <is>
          <t>佐藤</t>
        </is>
      </c>
      <c r="D102" s="870" t="inlineStr">
        <is>
          <t>●長本7</t>
        </is>
      </c>
      <c r="E102" s="801" t="inlineStr">
        <is>
          <t>平井7</t>
        </is>
      </c>
      <c r="F102" s="801" t="inlineStr">
        <is>
          <t>佐藤7</t>
        </is>
      </c>
      <c r="G102" s="801" t="inlineStr">
        <is>
          <t>神田7</t>
        </is>
      </c>
      <c r="H102" s="802" t="inlineStr">
        <is>
          <t>平井7</t>
        </is>
      </c>
      <c r="I102" s="788" t="n">
        <v>35</v>
      </c>
      <c r="J102" s="798" t="inlineStr">
        <is>
          <t>5H</t>
        </is>
      </c>
      <c r="K102" s="799" t="inlineStr">
        <is>
          <t>伊地知</t>
        </is>
      </c>
      <c r="L102" s="871" t="inlineStr">
        <is>
          <t>馬渡7</t>
        </is>
      </c>
      <c r="M102" s="801" t="inlineStr">
        <is>
          <t>伊地知７</t>
        </is>
      </c>
      <c r="N102" s="801" t="inlineStr">
        <is>
          <t>右田7</t>
        </is>
      </c>
      <c r="O102" s="801" t="inlineStr">
        <is>
          <t>田代7</t>
        </is>
      </c>
      <c r="P102" s="802" t="inlineStr">
        <is>
          <t>伊地知7</t>
        </is>
      </c>
    </row>
    <row r="103" ht="20.25" customHeight="1" s="1428" thickBot="1">
      <c r="A103" s="784" t="n">
        <v>14</v>
      </c>
      <c r="B103" s="872" t="inlineStr">
        <is>
          <t>4年</t>
        </is>
      </c>
      <c r="C103" s="873" t="inlineStr">
        <is>
          <t>平井</t>
        </is>
      </c>
      <c r="D103" s="874" t="inlineStr">
        <is>
          <t>佐藤7</t>
        </is>
      </c>
      <c r="E103" s="875" t="inlineStr">
        <is>
          <t>平井7</t>
        </is>
      </c>
      <c r="F103" s="876" t="inlineStr">
        <is>
          <t>●野口3</t>
        </is>
      </c>
      <c r="G103" s="876" t="inlineStr">
        <is>
          <t>●神田3</t>
        </is>
      </c>
      <c r="H103" s="877" t="inlineStr">
        <is>
          <t>中嶋6</t>
        </is>
      </c>
      <c r="I103" s="788" t="n">
        <v>11</v>
      </c>
      <c r="J103" s="872" t="inlineStr">
        <is>
          <t>4年</t>
        </is>
      </c>
      <c r="K103" s="878" t="inlineStr">
        <is>
          <t>伊地知</t>
        </is>
      </c>
      <c r="L103" s="874" t="inlineStr">
        <is>
          <t>馬渡7</t>
        </is>
      </c>
      <c r="M103" s="875" t="inlineStr">
        <is>
          <t>伊地知7</t>
        </is>
      </c>
      <c r="N103" s="876" t="inlineStr">
        <is>
          <t>●右田3</t>
        </is>
      </c>
      <c r="O103" s="876" t="inlineStr">
        <is>
          <t>●高本3</t>
        </is>
      </c>
      <c r="P103" s="879" t="inlineStr">
        <is>
          <t>●倉光6</t>
        </is>
      </c>
    </row>
    <row r="104" ht="20.25" customHeight="1" s="1428" thickBot="1" thickTop="1">
      <c r="A104" s="784" t="n"/>
      <c r="B104" s="1255" t="inlineStr">
        <is>
          <t>5年特別講座</t>
        </is>
      </c>
      <c r="C104" s="1474" t="n"/>
      <c r="D104" s="880" t="inlineStr">
        <is>
          <t>社会</t>
        </is>
      </c>
      <c r="E104" s="881" t="inlineStr">
        <is>
          <t>●野口6</t>
        </is>
      </c>
      <c r="F104" s="824" t="inlineStr">
        <is>
          <t>理科</t>
        </is>
      </c>
      <c r="G104" s="882" t="inlineStr">
        <is>
          <t>●神田6</t>
        </is>
      </c>
      <c r="H104" s="825" t="n"/>
      <c r="I104" s="788" t="n"/>
      <c r="J104" s="1255" t="inlineStr">
        <is>
          <t>5年特別講座</t>
        </is>
      </c>
      <c r="K104" s="1474" t="n"/>
      <c r="L104" s="880" t="inlineStr">
        <is>
          <t>社会</t>
        </is>
      </c>
      <c r="M104" s="823" t="inlineStr">
        <is>
          <t>●倉光6</t>
        </is>
      </c>
      <c r="N104" s="824" t="inlineStr">
        <is>
          <t>理科</t>
        </is>
      </c>
      <c r="O104" s="823" t="inlineStr">
        <is>
          <t>●田代6</t>
        </is>
      </c>
      <c r="P104" s="825" t="n"/>
    </row>
    <row r="105" ht="20.25" customHeight="1" s="1428">
      <c r="A105" s="883" t="n"/>
      <c r="H105" s="677" t="n"/>
      <c r="I105" s="884" t="n"/>
    </row>
    <row r="106" ht="20.25" customHeight="1" s="1428">
      <c r="I106" s="884" t="n"/>
      <c r="J106" s="885" t="n"/>
    </row>
    <row r="107" ht="20.25" customHeight="1" s="1428">
      <c r="B107" s="1243" t="inlineStr">
        <is>
          <t>４．各教科担当者の授業回数　（★飛びがある教員、89コマの場合…1日平均4.2コマ)</t>
        </is>
      </c>
    </row>
    <row r="108" ht="20.25" customFormat="1" customHeight="1" s="1258">
      <c r="B108" s="886" t="n"/>
    </row>
    <row r="109" ht="20.25" customHeight="1" s="1428">
      <c r="B109" s="1244" t="inlineStr">
        <is>
          <t>国語</t>
        </is>
      </c>
      <c r="C109" s="1475" t="n"/>
      <c r="D109" s="1465" t="n"/>
      <c r="E109" s="1246" t="inlineStr">
        <is>
          <t>算数・数学</t>
        </is>
      </c>
      <c r="F109" s="1475" t="n"/>
      <c r="G109" s="1465" t="n"/>
      <c r="H109" s="1248" t="inlineStr">
        <is>
          <t>社会</t>
        </is>
      </c>
      <c r="I109" s="1475" t="n"/>
      <c r="J109" s="1465" t="n"/>
      <c r="K109" s="1246" t="inlineStr">
        <is>
          <t>理科</t>
        </is>
      </c>
      <c r="L109" s="1475" t="n"/>
      <c r="M109" s="1465" t="n"/>
      <c r="N109" s="1248" t="inlineStr">
        <is>
          <t>英語</t>
        </is>
      </c>
      <c r="O109" s="1475" t="n"/>
      <c r="P109" s="1465" t="n"/>
    </row>
    <row r="110" ht="20.25" customHeight="1" s="1428" thickBot="1">
      <c r="B110" s="887" t="inlineStr">
        <is>
          <t>教員名</t>
        </is>
      </c>
      <c r="C110" s="887" t="inlineStr">
        <is>
          <t>計</t>
        </is>
      </c>
      <c r="D110" s="888" t="inlineStr">
        <is>
          <t>他教科</t>
        </is>
      </c>
      <c r="E110" s="889" t="inlineStr">
        <is>
          <t>教員名</t>
        </is>
      </c>
      <c r="F110" s="887" t="inlineStr">
        <is>
          <t>計</t>
        </is>
      </c>
      <c r="G110" s="890" t="inlineStr">
        <is>
          <t>他教科</t>
        </is>
      </c>
      <c r="H110" s="891" t="inlineStr">
        <is>
          <t>教員名</t>
        </is>
      </c>
      <c r="I110" s="887" t="inlineStr">
        <is>
          <t>計</t>
        </is>
      </c>
      <c r="J110" s="888" t="inlineStr">
        <is>
          <t>他教科</t>
        </is>
      </c>
      <c r="K110" s="889" t="inlineStr">
        <is>
          <t>教員名</t>
        </is>
      </c>
      <c r="L110" s="887" t="inlineStr">
        <is>
          <t>計</t>
        </is>
      </c>
      <c r="M110" s="890" t="inlineStr">
        <is>
          <t>他教科</t>
        </is>
      </c>
      <c r="N110" s="891" t="inlineStr">
        <is>
          <t>教員名</t>
        </is>
      </c>
      <c r="O110" s="887" t="inlineStr">
        <is>
          <t>計</t>
        </is>
      </c>
      <c r="P110" s="887" t="inlineStr">
        <is>
          <t>他教科</t>
        </is>
      </c>
    </row>
    <row r="111" ht="20.25" customHeight="1" s="1428" thickTop="1">
      <c r="B111" s="1277" t="inlineStr">
        <is>
          <t>馬渡</t>
        </is>
      </c>
      <c r="C111" s="1277" t="n">
        <v>80</v>
      </c>
      <c r="D111" s="786" t="n"/>
      <c r="E111" s="787" t="inlineStr">
        <is>
          <t>髙本</t>
        </is>
      </c>
      <c r="F111" s="1277" t="n">
        <v>52</v>
      </c>
      <c r="G111" s="786" t="inlineStr">
        <is>
          <t>理3</t>
        </is>
      </c>
      <c r="H111" s="787" t="inlineStr">
        <is>
          <t>藤田</t>
        </is>
      </c>
      <c r="I111" s="1277" t="n">
        <v>45</v>
      </c>
      <c r="J111" s="892" t="n"/>
      <c r="K111" s="791" t="inlineStr">
        <is>
          <t>神田</t>
        </is>
      </c>
      <c r="L111" s="1277" t="n">
        <v>84</v>
      </c>
      <c r="M111" s="786" t="n"/>
      <c r="N111" s="787" t="inlineStr">
        <is>
          <t>館長</t>
        </is>
      </c>
      <c r="O111" s="1277" t="n">
        <v>12</v>
      </c>
      <c r="P111" s="1277" t="n"/>
    </row>
    <row r="112" ht="20.25" customHeight="1" s="1428">
      <c r="B112" s="893" t="inlineStr">
        <is>
          <t>日高</t>
        </is>
      </c>
      <c r="C112" s="893" t="n">
        <v>89</v>
      </c>
      <c r="D112" s="894" t="n"/>
      <c r="E112" s="795" t="inlineStr">
        <is>
          <t>小野</t>
        </is>
      </c>
      <c r="F112" s="749" t="n">
        <v>77</v>
      </c>
      <c r="G112" s="794" t="n"/>
      <c r="H112" s="795" t="inlineStr">
        <is>
          <t>野口</t>
        </is>
      </c>
      <c r="I112" s="749" t="n">
        <v>76</v>
      </c>
      <c r="J112" s="868" t="n"/>
      <c r="K112" s="866" t="inlineStr">
        <is>
          <t>田代</t>
        </is>
      </c>
      <c r="L112" s="749" t="n">
        <v>83</v>
      </c>
      <c r="M112" s="895" t="n"/>
      <c r="N112" s="795" t="inlineStr">
        <is>
          <t>中村</t>
        </is>
      </c>
      <c r="O112" s="749" t="n">
        <v>78</v>
      </c>
      <c r="P112" s="749" t="n"/>
    </row>
    <row r="113" ht="20.25" customHeight="1" s="1428">
      <c r="B113" s="684" t="inlineStr">
        <is>
          <t>★副島</t>
        </is>
      </c>
      <c r="C113" s="684" t="n">
        <v>50</v>
      </c>
      <c r="D113" s="896" t="inlineStr">
        <is>
          <t>社15</t>
        </is>
      </c>
      <c r="E113" s="795" t="inlineStr">
        <is>
          <t>黒岩</t>
        </is>
      </c>
      <c r="F113" s="749" t="n">
        <v>71</v>
      </c>
      <c r="G113" s="794" t="n"/>
      <c r="H113" s="795" t="inlineStr">
        <is>
          <t>★長本</t>
        </is>
      </c>
      <c r="I113" s="749" t="n">
        <v>20</v>
      </c>
      <c r="J113" s="794" t="inlineStr">
        <is>
          <t>国44</t>
        </is>
      </c>
      <c r="K113" s="866" t="inlineStr">
        <is>
          <t>和久</t>
        </is>
      </c>
      <c r="L113" s="749" t="n">
        <v>44</v>
      </c>
      <c r="M113" s="895" t="n"/>
      <c r="N113" s="897" t="inlineStr">
        <is>
          <t>中嶋</t>
        </is>
      </c>
      <c r="O113" s="898" t="n">
        <v>78</v>
      </c>
      <c r="P113" s="898" t="inlineStr">
        <is>
          <t>数6</t>
        </is>
      </c>
    </row>
    <row r="114" ht="20.25" customHeight="1" s="1428">
      <c r="B114" s="898" t="inlineStr">
        <is>
          <t>佐藤</t>
        </is>
      </c>
      <c r="C114" s="898" t="n">
        <v>65</v>
      </c>
      <c r="D114" s="899" t="inlineStr">
        <is>
          <t>社24</t>
        </is>
      </c>
      <c r="E114" s="795" t="inlineStr">
        <is>
          <t>伊地知</t>
        </is>
      </c>
      <c r="F114" s="749" t="n">
        <v>83</v>
      </c>
      <c r="G114" s="794" t="n"/>
      <c r="H114" s="749" t="inlineStr">
        <is>
          <t>右田</t>
        </is>
      </c>
      <c r="I114" s="749" t="n">
        <v>60</v>
      </c>
      <c r="J114" s="868" t="n"/>
      <c r="K114" s="900" t="inlineStr">
        <is>
          <t>平野</t>
        </is>
      </c>
      <c r="L114" s="898" t="n">
        <v>57</v>
      </c>
      <c r="M114" s="899" t="inlineStr">
        <is>
          <t>数28</t>
        </is>
      </c>
      <c r="N114" s="795" t="inlineStr">
        <is>
          <t>堀</t>
        </is>
      </c>
      <c r="O114" s="749" t="n">
        <v>61</v>
      </c>
      <c r="P114" s="749" t="inlineStr">
        <is>
          <t>数16</t>
        </is>
      </c>
    </row>
    <row r="115" ht="20.25" customHeight="1" s="1428">
      <c r="B115" s="686" t="inlineStr">
        <is>
          <t>★長本</t>
        </is>
      </c>
      <c r="C115" s="686" t="n">
        <v>44</v>
      </c>
      <c r="D115" s="894" t="inlineStr">
        <is>
          <t>社20</t>
        </is>
      </c>
      <c r="E115" s="795" t="inlineStr">
        <is>
          <t>平井</t>
        </is>
      </c>
      <c r="F115" s="749" t="n">
        <v>58</v>
      </c>
      <c r="G115" s="794" t="inlineStr">
        <is>
          <t>理16</t>
        </is>
      </c>
      <c r="H115" s="795" t="inlineStr">
        <is>
          <t>岡野</t>
        </is>
      </c>
      <c r="I115" s="749" t="n">
        <v>72</v>
      </c>
      <c r="J115" s="794" t="n"/>
      <c r="K115" s="866" t="inlineStr">
        <is>
          <t>★栗原</t>
        </is>
      </c>
      <c r="L115" s="749" t="n">
        <v>62</v>
      </c>
      <c r="M115" s="794" t="n"/>
      <c r="N115" s="866" t="inlineStr">
        <is>
          <t>土井下</t>
        </is>
      </c>
      <c r="O115" s="749" t="n">
        <v>49</v>
      </c>
      <c r="P115" s="749" t="n"/>
    </row>
    <row r="116" ht="20.25" customHeight="1" s="1428">
      <c r="B116" s="749" t="n"/>
      <c r="C116" s="749" t="n"/>
      <c r="D116" s="794" t="n"/>
      <c r="E116" s="901" t="inlineStr">
        <is>
          <t>柿木</t>
        </is>
      </c>
      <c r="F116" s="749" t="n">
        <v>78</v>
      </c>
      <c r="G116" s="794" t="n"/>
      <c r="H116" s="866" t="inlineStr">
        <is>
          <t>佐藤</t>
        </is>
      </c>
      <c r="I116" s="749" t="n">
        <v>24</v>
      </c>
      <c r="J116" s="794" t="inlineStr">
        <is>
          <t>国65</t>
        </is>
      </c>
      <c r="K116" s="866" t="inlineStr">
        <is>
          <t>平井</t>
        </is>
      </c>
      <c r="L116" s="749" t="n">
        <v>16</v>
      </c>
      <c r="M116" s="794" t="inlineStr">
        <is>
          <t>数58</t>
        </is>
      </c>
      <c r="N116" s="795" t="n"/>
      <c r="O116" s="749" t="n"/>
      <c r="P116" s="749" t="n"/>
    </row>
    <row r="117" ht="20.25" customHeight="1" s="1428">
      <c r="B117" s="749" t="n"/>
      <c r="C117" s="749" t="n"/>
      <c r="D117" s="794" t="n"/>
      <c r="E117" s="795" t="inlineStr">
        <is>
          <t>堀</t>
        </is>
      </c>
      <c r="F117" s="749" t="n">
        <v>16</v>
      </c>
      <c r="G117" s="794" t="inlineStr">
        <is>
          <t>英61</t>
        </is>
      </c>
      <c r="H117" s="902" t="inlineStr">
        <is>
          <t>倉光</t>
        </is>
      </c>
      <c r="I117" s="684" t="n">
        <v>40</v>
      </c>
      <c r="J117" s="896" t="inlineStr">
        <is>
          <t>数18</t>
        </is>
      </c>
      <c r="K117" s="866" t="inlineStr">
        <is>
          <t>高本</t>
        </is>
      </c>
      <c r="L117" s="749" t="n">
        <v>3</v>
      </c>
      <c r="M117" s="794" t="inlineStr">
        <is>
          <t>数52</t>
        </is>
      </c>
      <c r="N117" s="795" t="n"/>
      <c r="O117" s="749" t="n"/>
      <c r="P117" s="749" t="n"/>
    </row>
    <row r="118" ht="20.25" customHeight="1" s="1428">
      <c r="B118" s="686" t="n"/>
      <c r="C118" s="686" t="n"/>
      <c r="D118" s="894" t="n"/>
      <c r="E118" s="903" t="inlineStr">
        <is>
          <t>平野</t>
        </is>
      </c>
      <c r="F118" s="898" t="n">
        <v>28</v>
      </c>
      <c r="G118" s="899" t="inlineStr">
        <is>
          <t>理57</t>
        </is>
      </c>
      <c r="H118" s="866" t="inlineStr">
        <is>
          <t>★副島</t>
        </is>
      </c>
      <c r="I118" s="749" t="n">
        <v>15</v>
      </c>
      <c r="J118" s="794" t="inlineStr">
        <is>
          <t>国57</t>
        </is>
      </c>
      <c r="K118" s="866" t="n"/>
      <c r="L118" s="749" t="n"/>
      <c r="M118" s="794" t="n"/>
      <c r="N118" s="795" t="n"/>
      <c r="O118" s="749" t="n"/>
      <c r="P118" s="749" t="n"/>
    </row>
    <row r="119" ht="20.25" customHeight="1" s="1428">
      <c r="B119" s="686" t="inlineStr">
        <is>
          <t> </t>
        </is>
      </c>
      <c r="C119" s="686" t="inlineStr">
        <is>
          <t> </t>
        </is>
      </c>
      <c r="D119" s="894" t="inlineStr">
        <is>
          <t> </t>
        </is>
      </c>
      <c r="E119" s="901" t="inlineStr">
        <is>
          <t>中嶋</t>
        </is>
      </c>
      <c r="F119" s="749" t="n">
        <v>6</v>
      </c>
      <c r="G119" s="794" t="inlineStr">
        <is>
          <t>英80</t>
        </is>
      </c>
      <c r="H119" s="904" t="n"/>
      <c r="I119" s="905" t="n"/>
      <c r="J119" s="794" t="n"/>
      <c r="K119" s="906" t="n"/>
      <c r="L119" s="686" t="n"/>
      <c r="M119" s="894" t="n"/>
      <c r="N119" s="901" t="n"/>
      <c r="O119" s="686" t="n"/>
      <c r="P119" s="686" t="n"/>
    </row>
    <row r="120" ht="20.25" customHeight="1" s="1428" thickBot="1">
      <c r="B120" s="907" t="inlineStr">
        <is>
          <t> </t>
        </is>
      </c>
      <c r="C120" s="907" t="inlineStr">
        <is>
          <t> </t>
        </is>
      </c>
      <c r="D120" s="908" t="inlineStr">
        <is>
          <t> </t>
        </is>
      </c>
      <c r="E120" s="909" t="inlineStr">
        <is>
          <t>倉光</t>
        </is>
      </c>
      <c r="F120" s="848" t="n">
        <v>18</v>
      </c>
      <c r="G120" s="908" t="inlineStr">
        <is>
          <t>社40</t>
        </is>
      </c>
      <c r="H120" s="848" t="n"/>
      <c r="I120" s="848" t="n"/>
      <c r="J120" s="910" t="n"/>
      <c r="K120" s="911" t="n"/>
      <c r="L120" s="907" t="n"/>
      <c r="M120" s="908" t="n"/>
      <c r="N120" s="909" t="n"/>
      <c r="O120" s="907" t="n"/>
      <c r="P120" s="907" t="n"/>
    </row>
    <row r="121" ht="20.25" customHeight="1" s="1428" thickTop="1">
      <c r="B121" s="1275" t="n">
        <v>328</v>
      </c>
      <c r="C121" s="912">
        <f>SUM(C111:C118)</f>
        <v/>
      </c>
      <c r="D121" s="913" t="n"/>
      <c r="E121" s="914" t="n">
        <v>487</v>
      </c>
      <c r="F121" s="912">
        <f>SUM(F111:F120)</f>
        <v/>
      </c>
      <c r="G121" s="833" t="inlineStr">
        <is>
          <t> </t>
        </is>
      </c>
      <c r="H121" s="1275" t="n">
        <v>352</v>
      </c>
      <c r="I121" s="912">
        <f>SUM(I111:I119)</f>
        <v/>
      </c>
      <c r="J121" s="915" t="n"/>
      <c r="K121" s="916" t="n">
        <v>352</v>
      </c>
      <c r="L121" s="912">
        <f>SUM(L111:L117)</f>
        <v/>
      </c>
      <c r="M121" s="833" t="n"/>
      <c r="N121" s="914" t="n">
        <v>266</v>
      </c>
      <c r="O121" s="912">
        <f>SUM(O112:O115)</f>
        <v/>
      </c>
      <c r="P121" s="917" t="inlineStr">
        <is>
          <t>←館長除く</t>
        </is>
      </c>
      <c r="Q121" s="677">
        <f>C121+F121+I121+L121+O121</f>
        <v/>
      </c>
    </row>
  </sheetData>
  <mergeCells count="68">
    <mergeCell ref="B34:Q34"/>
    <mergeCell ref="K109:M109"/>
    <mergeCell ref="F40:F41"/>
    <mergeCell ref="E43:E44"/>
    <mergeCell ref="J44:J45"/>
    <mergeCell ref="G43:G44"/>
    <mergeCell ref="B43:B44"/>
    <mergeCell ref="H43:H44"/>
    <mergeCell ref="J91:P91"/>
    <mergeCell ref="J38:J39"/>
    <mergeCell ref="K89:L89"/>
    <mergeCell ref="P1:Q1"/>
    <mergeCell ref="B107:P107"/>
    <mergeCell ref="B1:M1"/>
    <mergeCell ref="P25:R31"/>
    <mergeCell ref="H40:H41"/>
    <mergeCell ref="H109:J109"/>
    <mergeCell ref="J40:J41"/>
    <mergeCell ref="J15:L21"/>
    <mergeCell ref="J87:K87"/>
    <mergeCell ref="F55:G55"/>
    <mergeCell ref="K25:L31"/>
    <mergeCell ref="B79:H79"/>
    <mergeCell ref="B91:H91"/>
    <mergeCell ref="L42:L43"/>
    <mergeCell ref="C55:D55"/>
    <mergeCell ref="N42:N43"/>
    <mergeCell ref="K40:K41"/>
    <mergeCell ref="C40:C41"/>
    <mergeCell ref="M40:M41"/>
    <mergeCell ref="O40:O41"/>
    <mergeCell ref="N1:O1"/>
    <mergeCell ref="E40:E41"/>
    <mergeCell ref="C50:P50"/>
    <mergeCell ref="L55:M55"/>
    <mergeCell ref="J104:K104"/>
    <mergeCell ref="C43:C44"/>
    <mergeCell ref="D43:D44"/>
    <mergeCell ref="F43:F44"/>
    <mergeCell ref="I55:J55"/>
    <mergeCell ref="L38:L39"/>
    <mergeCell ref="E109:G109"/>
    <mergeCell ref="N38:N39"/>
    <mergeCell ref="K42:K43"/>
    <mergeCell ref="B47:B53"/>
    <mergeCell ref="M42:M43"/>
    <mergeCell ref="K38:K39"/>
    <mergeCell ref="C51:P51"/>
    <mergeCell ref="O42:O43"/>
    <mergeCell ref="M15:Q21"/>
    <mergeCell ref="F5:F7"/>
    <mergeCell ref="C49:Q49"/>
    <mergeCell ref="B109:D109"/>
    <mergeCell ref="R15:R21"/>
    <mergeCell ref="I25:J31"/>
    <mergeCell ref="L40:L41"/>
    <mergeCell ref="E5:E11"/>
    <mergeCell ref="N40:N41"/>
    <mergeCell ref="N109:P109"/>
    <mergeCell ref="J79:P79"/>
    <mergeCell ref="B104:C104"/>
    <mergeCell ref="M38:M39"/>
    <mergeCell ref="O38:O39"/>
    <mergeCell ref="J42:J43"/>
    <mergeCell ref="J33:Q3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7" min="0" max="17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5"/>
  <sheetViews>
    <sheetView topLeftCell="A9" zoomScaleNormal="100" zoomScaleSheetLayoutView="150" workbookViewId="0">
      <selection activeCell="J25" sqref="J25:K31"/>
    </sheetView>
  </sheetViews>
  <sheetFormatPr baseColWidth="8" defaultColWidth="9" defaultRowHeight="13.5"/>
  <cols>
    <col width="3" bestFit="1" customWidth="1" style="358" min="1" max="1"/>
    <col width="7" customWidth="1" style="358" min="2" max="7"/>
    <col width="7" customWidth="1" style="389" min="8" max="8"/>
    <col width="7" customWidth="1" style="358" min="9" max="18"/>
    <col width="9" customWidth="1" style="358" min="19" max="16384"/>
  </cols>
  <sheetData>
    <row r="1" ht="29.25" customFormat="1" customHeight="1" s="355">
      <c r="B1" s="1422" t="inlineStr">
        <is>
          <t>R5年度　夏期講座　時間割</t>
        </is>
      </c>
      <c r="N1" s="1423" t="inlineStr">
        <is>
          <t>更新日</t>
        </is>
      </c>
      <c r="P1" s="1425" t="n">
        <v>45095</v>
      </c>
      <c r="R1" s="1425" t="n"/>
    </row>
    <row r="2" ht="16.15" customHeight="1" s="1428">
      <c r="B2" s="356" t="inlineStr">
        <is>
          <t>１．スケジュール</t>
        </is>
      </c>
      <c r="C2" s="357" t="n"/>
      <c r="D2" s="357" t="n"/>
      <c r="F2" s="359" t="n">
        <v>2</v>
      </c>
      <c r="G2" s="360" t="n">
        <v>4</v>
      </c>
      <c r="H2" s="361" t="n">
        <v>3</v>
      </c>
      <c r="I2" s="361" t="n">
        <v>6</v>
      </c>
      <c r="J2" s="361" t="n">
        <v>6</v>
      </c>
      <c r="K2" s="361" t="n">
        <v>6</v>
      </c>
      <c r="L2" s="361" t="n">
        <v>6</v>
      </c>
      <c r="M2" s="361" t="n">
        <v>6</v>
      </c>
      <c r="N2" s="361" t="n">
        <v>6</v>
      </c>
      <c r="O2" s="361" t="n">
        <v>6</v>
      </c>
      <c r="P2" s="361" t="n">
        <v>6</v>
      </c>
      <c r="Q2" s="361" t="n">
        <v>6</v>
      </c>
      <c r="R2" s="362" t="n">
        <v>6</v>
      </c>
    </row>
    <row r="3" ht="13.15" customFormat="1" customHeight="1" s="368">
      <c r="B3" s="1344" t="inlineStr">
        <is>
          <t>日付</t>
        </is>
      </c>
      <c r="C3" s="1517" t="n">
        <v>45123</v>
      </c>
      <c r="D3" s="365" t="n">
        <v>17</v>
      </c>
      <c r="E3" s="366" t="n">
        <v>18</v>
      </c>
      <c r="F3" s="366" t="n">
        <v>19</v>
      </c>
      <c r="G3" s="366" t="n">
        <v>20</v>
      </c>
      <c r="H3" s="366" t="n">
        <v>21</v>
      </c>
      <c r="I3" s="366" t="n">
        <v>22</v>
      </c>
      <c r="J3" s="367" t="n">
        <v>23</v>
      </c>
      <c r="K3" s="366" t="n">
        <v>24</v>
      </c>
      <c r="L3" s="366" t="n">
        <v>25</v>
      </c>
      <c r="M3" s="366" t="n">
        <v>26</v>
      </c>
      <c r="N3" s="366" t="n">
        <v>27</v>
      </c>
      <c r="O3" s="366" t="n">
        <v>28</v>
      </c>
      <c r="P3" s="366" t="n">
        <v>29</v>
      </c>
      <c r="Q3" s="367" t="n">
        <v>30</v>
      </c>
      <c r="R3" s="366" t="n">
        <v>31</v>
      </c>
    </row>
    <row r="4" ht="13.15" customFormat="1" customHeight="1" s="368">
      <c r="B4" s="1344" t="inlineStr">
        <is>
          <t>曜日</t>
        </is>
      </c>
      <c r="C4" s="367" t="inlineStr">
        <is>
          <t>日</t>
        </is>
      </c>
      <c r="D4" s="367" t="inlineStr">
        <is>
          <t>月</t>
        </is>
      </c>
      <c r="E4" s="1344" t="inlineStr">
        <is>
          <t>火</t>
        </is>
      </c>
      <c r="F4" s="1344" t="inlineStr">
        <is>
          <t>水</t>
        </is>
      </c>
      <c r="G4" s="1344" t="inlineStr">
        <is>
          <t>木</t>
        </is>
      </c>
      <c r="H4" s="1344" t="inlineStr">
        <is>
          <t>金</t>
        </is>
      </c>
      <c r="I4" s="1344" t="inlineStr">
        <is>
          <t>土</t>
        </is>
      </c>
      <c r="J4" s="367" t="inlineStr">
        <is>
          <t>日</t>
        </is>
      </c>
      <c r="K4" s="1344" t="inlineStr">
        <is>
          <t>月</t>
        </is>
      </c>
      <c r="L4" s="1344" t="inlineStr">
        <is>
          <t>火</t>
        </is>
      </c>
      <c r="M4" s="1344" t="inlineStr">
        <is>
          <t>水</t>
        </is>
      </c>
      <c r="N4" s="1344" t="inlineStr">
        <is>
          <t>木</t>
        </is>
      </c>
      <c r="O4" s="1344" t="inlineStr">
        <is>
          <t>金</t>
        </is>
      </c>
      <c r="P4" s="1344" t="inlineStr">
        <is>
          <t>土</t>
        </is>
      </c>
      <c r="Q4" s="367" t="inlineStr">
        <is>
          <t>日</t>
        </is>
      </c>
      <c r="R4" s="1344" t="inlineStr">
        <is>
          <t>月</t>
        </is>
      </c>
    </row>
    <row r="5" ht="13.15" customFormat="1" customHeight="1" s="368">
      <c r="B5" s="369" t="inlineStr">
        <is>
          <t>Ⅰ</t>
        </is>
      </c>
      <c r="C5" s="369" t="inlineStr">
        <is>
          <t>外部生集合</t>
        </is>
      </c>
      <c r="D5" s="1518" t="inlineStr">
        <is>
          <t>海の日</t>
        </is>
      </c>
      <c r="E5" s="369" t="n"/>
      <c r="F5" s="369" t="n"/>
      <c r="G5" s="369" t="inlineStr">
        <is>
          <t>中3集合</t>
        </is>
      </c>
      <c r="H5" s="1380" t="inlineStr">
        <is>
          <t>1学期
終業式</t>
        </is>
      </c>
      <c r="I5" s="369" t="n"/>
      <c r="J5" s="369" t="n"/>
      <c r="K5" s="369" t="n"/>
      <c r="L5" s="369" t="n"/>
      <c r="M5" s="369" t="n"/>
      <c r="N5" s="369" t="n"/>
      <c r="O5" s="369" t="n"/>
      <c r="P5" s="369" t="n"/>
      <c r="Q5" s="369" t="n"/>
      <c r="R5" s="369" t="n"/>
    </row>
    <row r="6" ht="13.15" customFormat="1" customHeight="1" s="368">
      <c r="B6" s="369" t="inlineStr">
        <is>
          <t>Ⅱ</t>
        </is>
      </c>
      <c r="C6" s="1442" t="n"/>
      <c r="D6" s="1442" t="n"/>
      <c r="E6" s="1442" t="n"/>
      <c r="F6" s="369" t="n"/>
      <c r="G6" s="1442" t="n"/>
      <c r="H6" s="1442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</row>
    <row r="7" ht="13.15" customFormat="1" customHeight="1" s="368">
      <c r="B7" s="369" t="inlineStr">
        <is>
          <t>Ⅲ</t>
        </is>
      </c>
      <c r="C7" s="1442" t="n"/>
      <c r="D7" s="1442" t="n"/>
      <c r="E7" s="1442" t="n"/>
      <c r="F7" s="369" t="n"/>
      <c r="G7" s="1442" t="n"/>
      <c r="H7" s="1442" t="n"/>
      <c r="I7" s="369" t="n"/>
      <c r="J7" s="369" t="n"/>
      <c r="K7" s="369" t="n"/>
      <c r="L7" s="369" t="n"/>
      <c r="M7" s="369" t="n"/>
      <c r="N7" s="369" t="n"/>
      <c r="O7" s="369" t="n"/>
      <c r="P7" s="369" t="n"/>
      <c r="Q7" s="369" t="n"/>
      <c r="R7" s="369" t="n"/>
    </row>
    <row r="8" ht="13.15" customFormat="1" customHeight="1" s="368">
      <c r="B8" s="369" t="inlineStr">
        <is>
          <t>Ⅳ</t>
        </is>
      </c>
      <c r="C8" s="1442" t="n"/>
      <c r="D8" s="1442" t="n"/>
      <c r="E8" s="1442" t="n"/>
      <c r="F8" s="369" t="n"/>
      <c r="G8" s="1442" t="n"/>
      <c r="H8" s="369" t="n"/>
      <c r="I8" s="369" t="n"/>
      <c r="J8" s="369" t="n"/>
      <c r="K8" s="369" t="n"/>
      <c r="L8" s="369" t="n"/>
      <c r="M8" s="369" t="n"/>
      <c r="N8" s="369" t="n"/>
      <c r="O8" s="369" t="n"/>
      <c r="P8" s="369" t="n"/>
      <c r="Q8" s="369" t="n"/>
      <c r="R8" s="369" t="n"/>
    </row>
    <row r="9" ht="13.15" customFormat="1" customHeight="1" s="368">
      <c r="B9" s="369" t="inlineStr">
        <is>
          <t>Ⅴ</t>
        </is>
      </c>
      <c r="C9" s="1442" t="n"/>
      <c r="D9" s="1442" t="n"/>
      <c r="E9" s="1442" t="n"/>
      <c r="F9" s="369" t="n"/>
      <c r="G9" s="1442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T9" s="371" t="n"/>
    </row>
    <row r="10" ht="13.15" customFormat="1" customHeight="1" s="368">
      <c r="B10" s="369" t="inlineStr">
        <is>
          <t>Ⅵ</t>
        </is>
      </c>
      <c r="C10" s="1442" t="n"/>
      <c r="D10" s="1442" t="n"/>
      <c r="E10" s="1442" t="n"/>
      <c r="F10" s="369" t="n"/>
      <c r="G10" s="1442" t="n"/>
      <c r="H10" s="369" t="n"/>
      <c r="I10" s="369" t="n"/>
      <c r="J10" s="369" t="n"/>
      <c r="K10" s="369" t="n"/>
      <c r="L10" s="369" t="n"/>
      <c r="M10" s="369" t="n"/>
      <c r="N10" s="369" t="n"/>
      <c r="O10" s="369" t="n"/>
      <c r="P10" s="369" t="n"/>
      <c r="Q10" s="369" t="n"/>
      <c r="R10" s="369" t="n"/>
    </row>
    <row r="11" ht="13.15" customFormat="1" customHeight="1" s="368">
      <c r="B11" s="369" t="inlineStr">
        <is>
          <t>自習</t>
        </is>
      </c>
      <c r="C11" s="1443" t="n"/>
      <c r="D11" s="1443" t="n"/>
      <c r="E11" s="1443" t="n"/>
      <c r="F11" s="369" t="n"/>
      <c r="G11" s="1443" t="n"/>
      <c r="H11" s="369" t="n"/>
      <c r="I11" s="369" t="n"/>
      <c r="J11" s="369" t="n"/>
      <c r="K11" s="369" t="n"/>
      <c r="L11" s="369" t="n"/>
      <c r="M11" s="369" t="n"/>
      <c r="N11" s="369" t="n"/>
      <c r="O11" s="369" t="n"/>
      <c r="P11" s="369" t="n"/>
      <c r="Q11" s="369" t="n"/>
      <c r="R11" s="369" t="n"/>
    </row>
    <row r="12" ht="13.15" customHeight="1" s="1428">
      <c r="B12" s="374" t="n"/>
      <c r="C12" s="375" t="n">
        <v>6</v>
      </c>
      <c r="D12" s="375" t="n">
        <v>6</v>
      </c>
      <c r="E12" s="375" t="n">
        <v>6</v>
      </c>
      <c r="F12" s="375" t="n">
        <v>6</v>
      </c>
      <c r="G12" s="375" t="n">
        <v>6</v>
      </c>
      <c r="H12" s="375" t="n">
        <v>6</v>
      </c>
      <c r="I12" s="375" t="n">
        <v>4</v>
      </c>
      <c r="J12" s="375" t="n"/>
      <c r="K12" s="375" t="n"/>
      <c r="L12" s="375" t="n"/>
      <c r="M12" s="375" t="n"/>
      <c r="N12" s="375" t="n"/>
      <c r="O12" s="375" t="n"/>
      <c r="P12" s="375" t="n"/>
      <c r="Q12" s="375" t="n"/>
      <c r="R12" s="375" t="n"/>
      <c r="S12" s="368" t="n"/>
      <c r="T12" s="368" t="n"/>
    </row>
    <row r="13" ht="13.15" customHeight="1" s="1428">
      <c r="B13" s="1344" t="inlineStr">
        <is>
          <t>日付</t>
        </is>
      </c>
      <c r="C13" s="1519" t="n">
        <v>43313</v>
      </c>
      <c r="D13" s="366" t="n">
        <v>2</v>
      </c>
      <c r="E13" s="1344" t="n">
        <v>3</v>
      </c>
      <c r="F13" s="1344" t="n">
        <v>4</v>
      </c>
      <c r="G13" s="1344" t="n">
        <v>5</v>
      </c>
      <c r="H13" s="367" t="n">
        <v>6</v>
      </c>
      <c r="I13" s="1344" t="n">
        <v>7</v>
      </c>
      <c r="J13" s="1344" t="n">
        <v>8</v>
      </c>
      <c r="K13" s="1344" t="n">
        <v>9</v>
      </c>
      <c r="L13" s="377" t="n">
        <v>10</v>
      </c>
      <c r="M13" s="378" t="n">
        <v>11</v>
      </c>
      <c r="N13" s="378" t="n">
        <v>12</v>
      </c>
      <c r="O13" s="379" t="n">
        <v>13</v>
      </c>
      <c r="P13" s="378" t="n">
        <v>14</v>
      </c>
      <c r="Q13" s="378" t="n">
        <v>15</v>
      </c>
      <c r="R13" s="378" t="n">
        <v>16</v>
      </c>
      <c r="S13" s="368" t="n"/>
      <c r="T13" s="368" t="n"/>
    </row>
    <row r="14" ht="13.15" customHeight="1" s="1428">
      <c r="B14" s="1344" t="inlineStr">
        <is>
          <t>曜日</t>
        </is>
      </c>
      <c r="C14" s="366" t="inlineStr">
        <is>
          <t>火</t>
        </is>
      </c>
      <c r="D14" s="366" t="inlineStr">
        <is>
          <t>水</t>
        </is>
      </c>
      <c r="E14" s="366" t="inlineStr">
        <is>
          <t>木</t>
        </is>
      </c>
      <c r="F14" s="366" t="inlineStr">
        <is>
          <t>金</t>
        </is>
      </c>
      <c r="G14" s="366" t="inlineStr">
        <is>
          <t>土</t>
        </is>
      </c>
      <c r="H14" s="367" t="inlineStr">
        <is>
          <t>日</t>
        </is>
      </c>
      <c r="I14" s="366" t="inlineStr">
        <is>
          <t>月</t>
        </is>
      </c>
      <c r="J14" s="366" t="inlineStr">
        <is>
          <t>火</t>
        </is>
      </c>
      <c r="K14" s="366" t="inlineStr">
        <is>
          <t>水</t>
        </is>
      </c>
      <c r="L14" s="366" t="inlineStr">
        <is>
          <t>木</t>
        </is>
      </c>
      <c r="M14" s="366" t="inlineStr">
        <is>
          <t>金</t>
        </is>
      </c>
      <c r="N14" s="366" t="inlineStr">
        <is>
          <t>土</t>
        </is>
      </c>
      <c r="O14" s="367" t="inlineStr">
        <is>
          <t>日</t>
        </is>
      </c>
      <c r="P14" s="366" t="inlineStr">
        <is>
          <t>月</t>
        </is>
      </c>
      <c r="Q14" s="366" t="inlineStr">
        <is>
          <t>火</t>
        </is>
      </c>
      <c r="R14" s="1344" t="inlineStr">
        <is>
          <t>水</t>
        </is>
      </c>
    </row>
    <row r="15" ht="13.15" customHeight="1" s="1428">
      <c r="B15" s="369" t="inlineStr">
        <is>
          <t>Ⅰ</t>
        </is>
      </c>
      <c r="C15" s="369" t="n"/>
      <c r="D15" s="369" t="n"/>
      <c r="E15" s="369" t="n"/>
      <c r="F15" s="369" t="n"/>
      <c r="G15" s="369" t="n"/>
      <c r="H15" s="369" t="n"/>
      <c r="I15" s="380" t="inlineStr">
        <is>
          <t>授業</t>
        </is>
      </c>
      <c r="J15" s="1380" t="inlineStr">
        <is>
          <t>太宰府</t>
        </is>
      </c>
      <c r="K15" s="381" t="n"/>
      <c r="L15" s="1520" t="inlineStr">
        <is>
          <t xml:space="preserve">　　　　　　　　　　　　　　　　盆休み
【昨年度のスケジュール】
8/7 4限目終了、18:30解散
8/8 13:00-18:00 自習(中3・６受)
8/9 12:00-16:00 自習、17:30-19:00 反省会(梅)、19:30-ヒルトン食事会</t>
        </is>
      </c>
      <c r="M15" s="1479" t="n"/>
      <c r="N15" s="1479" t="n"/>
      <c r="O15" s="1479" t="n"/>
      <c r="P15" s="1479" t="n"/>
      <c r="Q15" s="1480" t="n"/>
      <c r="R15" s="1518" t="inlineStr">
        <is>
          <t>後半　打合せ</t>
        </is>
      </c>
    </row>
    <row r="16" ht="13.15" customHeight="1" s="1428">
      <c r="B16" s="369" t="inlineStr">
        <is>
          <t>Ⅱ</t>
        </is>
      </c>
      <c r="C16" s="369" t="n"/>
      <c r="D16" s="369" t="n"/>
      <c r="E16" s="369" t="n"/>
      <c r="F16" s="369" t="n"/>
      <c r="G16" s="369" t="n"/>
      <c r="H16" s="369" t="n"/>
      <c r="I16" s="380" t="n"/>
      <c r="J16" s="1442" t="n"/>
      <c r="K16" s="382" t="inlineStr">
        <is>
          <t>自習</t>
        </is>
      </c>
      <c r="Q16" s="1458" t="n"/>
      <c r="R16" s="1442" t="n"/>
    </row>
    <row r="17" ht="13.15" customHeight="1" s="1428">
      <c r="B17" s="369" t="inlineStr">
        <is>
          <t>Ⅲ</t>
        </is>
      </c>
      <c r="C17" s="369" t="n"/>
      <c r="D17" s="369" t="n"/>
      <c r="E17" s="369" t="n"/>
      <c r="F17" s="369" t="n"/>
      <c r="G17" s="369" t="n"/>
      <c r="H17" s="369" t="n"/>
      <c r="I17" s="383" t="inlineStr">
        <is>
          <t>※受験生</t>
        </is>
      </c>
      <c r="J17" s="1442" t="n"/>
      <c r="K17" s="382" t="n"/>
      <c r="Q17" s="1458" t="n"/>
      <c r="R17" s="1442" t="n"/>
    </row>
    <row r="18" ht="13.15" customHeight="1" s="1428">
      <c r="B18" s="369" t="inlineStr">
        <is>
          <t>Ⅳ</t>
        </is>
      </c>
      <c r="C18" s="369" t="n"/>
      <c r="D18" s="369" t="n"/>
      <c r="E18" s="369" t="n"/>
      <c r="F18" s="369" t="n"/>
      <c r="G18" s="369" t="n"/>
      <c r="H18" s="369" t="n"/>
      <c r="I18" s="384" t="n"/>
      <c r="J18" s="1442" t="n"/>
      <c r="K18" s="382" t="n"/>
      <c r="Q18" s="1458" t="n"/>
      <c r="R18" s="1442" t="n"/>
    </row>
    <row r="19" ht="13.15" customHeight="1" s="1428">
      <c r="B19" s="369" t="inlineStr">
        <is>
          <t>Ⅴ</t>
        </is>
      </c>
      <c r="C19" s="369" t="n"/>
      <c r="D19" s="369" t="n"/>
      <c r="E19" s="369" t="n"/>
      <c r="F19" s="369" t="n"/>
      <c r="G19" s="369" t="n"/>
      <c r="H19" s="369" t="n"/>
      <c r="I19" s="1380" t="inlineStr">
        <is>
          <t>太宰府　説明会</t>
        </is>
      </c>
      <c r="J19" s="1442" t="n"/>
      <c r="K19" s="382" t="n"/>
      <c r="Q19" s="1458" t="n"/>
      <c r="R19" s="1442" t="n"/>
    </row>
    <row r="20" ht="13.15" customHeight="1" s="1428">
      <c r="B20" s="369" t="inlineStr">
        <is>
          <t>Ⅵ</t>
        </is>
      </c>
      <c r="C20" s="369" t="n"/>
      <c r="D20" s="369" t="n"/>
      <c r="E20" s="369" t="n"/>
      <c r="F20" s="369" t="n"/>
      <c r="G20" s="369" t="n"/>
      <c r="H20" s="369" t="n"/>
      <c r="I20" s="1407" t="inlineStr">
        <is>
          <t>説明会</t>
        </is>
      </c>
      <c r="J20" s="1442" t="n"/>
      <c r="K20" s="369" t="n"/>
      <c r="Q20" s="1458" t="n"/>
      <c r="R20" s="1442" t="n"/>
    </row>
    <row r="21" ht="13.15" customHeight="1" s="1428">
      <c r="B21" s="369" t="inlineStr">
        <is>
          <t>自習</t>
        </is>
      </c>
      <c r="C21" s="369" t="n"/>
      <c r="D21" s="369" t="n"/>
      <c r="E21" s="369" t="n"/>
      <c r="F21" s="369" t="n"/>
      <c r="G21" s="369" t="n"/>
      <c r="H21" s="369" t="n"/>
      <c r="I21" s="385" t="n"/>
      <c r="J21" s="386" t="n"/>
      <c r="K21" s="369" t="n"/>
      <c r="L21" s="1484" t="n"/>
      <c r="M21" s="1484" t="n"/>
      <c r="N21" s="1484" t="n"/>
      <c r="O21" s="1484" t="n"/>
      <c r="P21" s="1484" t="n"/>
      <c r="Q21" s="1485" t="n"/>
      <c r="R21" s="1443" t="n"/>
    </row>
    <row r="22" ht="13.15" customHeight="1" s="1428">
      <c r="B22" s="387" t="n"/>
      <c r="C22" s="375" t="n">
        <v>6</v>
      </c>
      <c r="D22" s="375" t="n">
        <v>6</v>
      </c>
      <c r="E22" s="375" t="n">
        <v>6</v>
      </c>
      <c r="F22" s="375" t="n">
        <v>6</v>
      </c>
      <c r="G22" s="375" t="n">
        <v>6</v>
      </c>
      <c r="H22" s="375" t="n">
        <v>6</v>
      </c>
      <c r="I22" s="375" t="n">
        <v>6</v>
      </c>
      <c r="J22" s="375" t="n"/>
      <c r="K22" s="375" t="n"/>
      <c r="L22" s="375" t="n"/>
      <c r="M22" s="375" t="n"/>
      <c r="N22" s="375" t="n"/>
      <c r="O22" s="375">
        <f>SUM(H2:R2)</f>
        <v/>
      </c>
      <c r="P22" s="375">
        <f>SUM(C12:R12)</f>
        <v/>
      </c>
      <c r="Q22" s="375">
        <f>SUM(C22:K22)</f>
        <v/>
      </c>
      <c r="R22" s="375">
        <f>O22+P22+Q22</f>
        <v/>
      </c>
    </row>
    <row r="23" ht="13.15" customHeight="1" s="1428">
      <c r="B23" s="1344" t="inlineStr">
        <is>
          <t>日付</t>
        </is>
      </c>
      <c r="C23" s="1344" t="n">
        <v>17</v>
      </c>
      <c r="D23" s="1344" t="n">
        <v>18</v>
      </c>
      <c r="E23" s="1344" t="n">
        <v>19</v>
      </c>
      <c r="F23" s="367" t="n">
        <v>20</v>
      </c>
      <c r="G23" s="1344" t="n">
        <v>21</v>
      </c>
      <c r="H23" s="1344" t="n">
        <v>22</v>
      </c>
      <c r="I23" s="1344" t="n">
        <v>23</v>
      </c>
      <c r="J23" s="1344" t="n">
        <v>24</v>
      </c>
      <c r="K23" s="1344" t="n">
        <v>25</v>
      </c>
      <c r="L23" s="1344" t="n">
        <v>26</v>
      </c>
      <c r="M23" s="367" t="n">
        <v>27</v>
      </c>
      <c r="N23" s="1344" t="n">
        <v>28</v>
      </c>
      <c r="O23" s="1344" t="n">
        <v>29</v>
      </c>
      <c r="P23" s="1344" t="n">
        <v>30</v>
      </c>
      <c r="Q23" s="1344" t="n">
        <v>31</v>
      </c>
      <c r="R23" s="388" t="inlineStr">
        <is>
          <t>9/1</t>
        </is>
      </c>
    </row>
    <row r="24" ht="13.15" customHeight="1" s="1428">
      <c r="B24" s="1344" t="inlineStr">
        <is>
          <t>曜日</t>
        </is>
      </c>
      <c r="C24" s="1344" t="inlineStr">
        <is>
          <t>木</t>
        </is>
      </c>
      <c r="D24" s="1344" t="inlineStr">
        <is>
          <t>金</t>
        </is>
      </c>
      <c r="E24" s="1344" t="inlineStr">
        <is>
          <t>土</t>
        </is>
      </c>
      <c r="F24" s="367" t="inlineStr">
        <is>
          <t>日</t>
        </is>
      </c>
      <c r="G24" s="1344" t="inlineStr">
        <is>
          <t>月</t>
        </is>
      </c>
      <c r="H24" s="1344" t="inlineStr">
        <is>
          <t>火</t>
        </is>
      </c>
      <c r="I24" s="1344" t="inlineStr">
        <is>
          <t>水</t>
        </is>
      </c>
      <c r="J24" s="1344" t="inlineStr">
        <is>
          <t>木</t>
        </is>
      </c>
      <c r="K24" s="1344" t="inlineStr">
        <is>
          <t>金</t>
        </is>
      </c>
      <c r="L24" s="1344" t="inlineStr">
        <is>
          <t>土</t>
        </is>
      </c>
      <c r="M24" s="367" t="inlineStr">
        <is>
          <t>日</t>
        </is>
      </c>
      <c r="N24" s="1344" t="inlineStr">
        <is>
          <t>月</t>
        </is>
      </c>
      <c r="O24" s="1344" t="inlineStr">
        <is>
          <t>火</t>
        </is>
      </c>
      <c r="P24" s="1344" t="inlineStr">
        <is>
          <t>水</t>
        </is>
      </c>
      <c r="Q24" s="1344" t="inlineStr">
        <is>
          <t>木</t>
        </is>
      </c>
      <c r="R24" s="382" t="inlineStr">
        <is>
          <t>金</t>
        </is>
      </c>
    </row>
    <row r="25" ht="13.15" customHeight="1" s="1428">
      <c r="B25" s="369" t="inlineStr">
        <is>
          <t>Ⅰ</t>
        </is>
      </c>
      <c r="C25" s="369" t="n"/>
      <c r="D25" s="369" t="n"/>
      <c r="E25" s="369" t="n"/>
      <c r="F25" s="369" t="n"/>
      <c r="G25" s="369" t="n"/>
      <c r="H25" s="369" t="n"/>
      <c r="I25" s="369" t="n"/>
      <c r="J25" s="1518" t="inlineStr">
        <is>
          <t>反省テスト
※春日・太宰府市の中学生は8/26に後受け</t>
        </is>
      </c>
      <c r="K25" s="1480" t="n"/>
      <c r="L25" s="1518" t="inlineStr">
        <is>
          <t>後受け
新学期準備</t>
        </is>
      </c>
      <c r="M25" s="1480" t="n"/>
      <c r="N25" s="369" t="n"/>
      <c r="O25" s="369" t="n"/>
      <c r="P25" s="1521" t="inlineStr">
        <is>
          <t>①学校8/28始業式
②東光中（2期制）8/28始業式
③春日・太宰府市の中学校（2期制）7/21-8/24、29-31休館、9/1始業式
④附属中7/22-8/22、期末テスト8/23・24</t>
        </is>
      </c>
      <c r="Q25" s="1479" t="n"/>
      <c r="R25" s="1480" t="n"/>
    </row>
    <row r="26" ht="13.15" customHeight="1" s="1428">
      <c r="B26" s="369" t="inlineStr">
        <is>
          <t>Ⅱ</t>
        </is>
      </c>
      <c r="C26" s="369" t="n"/>
      <c r="D26" s="369" t="n"/>
      <c r="E26" s="369" t="n"/>
      <c r="F26" s="369" t="n"/>
      <c r="G26" s="369" t="n"/>
      <c r="H26" s="369" t="n"/>
      <c r="I26" s="369" t="n"/>
      <c r="J26" s="1482" t="n"/>
      <c r="K26" s="1458" t="n"/>
      <c r="L26" s="1482" t="n"/>
      <c r="M26" s="1458" t="n"/>
      <c r="N26" s="369" t="n"/>
      <c r="O26" s="369" t="n"/>
      <c r="P26" s="1482" t="n"/>
      <c r="R26" s="1458" t="n"/>
    </row>
    <row r="27" ht="13.15" customHeight="1" s="1428">
      <c r="B27" s="369" t="inlineStr">
        <is>
          <t>Ⅲ</t>
        </is>
      </c>
      <c r="C27" s="369" t="n"/>
      <c r="D27" s="369" t="n"/>
      <c r="E27" s="369" t="n"/>
      <c r="F27" s="369" t="n"/>
      <c r="G27" s="369" t="n"/>
      <c r="H27" s="369" t="n"/>
      <c r="I27" s="369" t="n"/>
      <c r="J27" s="1482" t="n"/>
      <c r="K27" s="1458" t="n"/>
      <c r="L27" s="1482" t="n"/>
      <c r="M27" s="1458" t="n"/>
      <c r="N27" s="369" t="n"/>
      <c r="O27" s="369" t="n"/>
      <c r="P27" s="1482" t="n"/>
      <c r="R27" s="1458" t="n"/>
    </row>
    <row r="28" ht="13.15" customHeight="1" s="1428">
      <c r="B28" s="369" t="inlineStr">
        <is>
          <t>Ⅳ</t>
        </is>
      </c>
      <c r="C28" s="369" t="n"/>
      <c r="D28" s="369" t="n"/>
      <c r="E28" s="369" t="n"/>
      <c r="F28" s="369" t="n"/>
      <c r="G28" s="369" t="n"/>
      <c r="H28" s="369" t="n"/>
      <c r="I28" s="369" t="n"/>
      <c r="J28" s="1482" t="n"/>
      <c r="K28" s="1458" t="n"/>
      <c r="L28" s="1482" t="n"/>
      <c r="M28" s="1458" t="n"/>
      <c r="N28" s="369" t="n"/>
      <c r="O28" s="369" t="n"/>
      <c r="P28" s="1482" t="n"/>
      <c r="R28" s="1458" t="n"/>
    </row>
    <row r="29" ht="13.15" customHeight="1" s="1428">
      <c r="B29" s="369" t="inlineStr">
        <is>
          <t>Ⅴ</t>
        </is>
      </c>
      <c r="C29" s="369" t="n"/>
      <c r="D29" s="369" t="n"/>
      <c r="E29" s="369" t="n"/>
      <c r="F29" s="369" t="n"/>
      <c r="G29" s="369" t="n"/>
      <c r="H29" s="369" t="n"/>
      <c r="I29" s="369" t="n"/>
      <c r="J29" s="1482" t="n"/>
      <c r="K29" s="1458" t="n"/>
      <c r="L29" s="1482" t="n"/>
      <c r="M29" s="1458" t="n"/>
      <c r="N29" s="369" t="n"/>
      <c r="O29" s="369" t="n"/>
      <c r="P29" s="1482" t="n"/>
      <c r="R29" s="1458" t="n"/>
    </row>
    <row r="30" ht="13.15" customHeight="1" s="1428">
      <c r="B30" s="369" t="inlineStr">
        <is>
          <t>Ⅵ</t>
        </is>
      </c>
      <c r="C30" s="369" t="n"/>
      <c r="D30" s="369" t="n"/>
      <c r="E30" s="369" t="n"/>
      <c r="F30" s="369" t="n"/>
      <c r="G30" s="369" t="n"/>
      <c r="H30" s="369" t="n"/>
      <c r="I30" s="369" t="n"/>
      <c r="J30" s="1482" t="n"/>
      <c r="K30" s="1458" t="n"/>
      <c r="L30" s="1482" t="n"/>
      <c r="M30" s="1458" t="n"/>
      <c r="N30" s="369" t="n"/>
      <c r="O30" s="369" t="n"/>
      <c r="P30" s="1482" t="n"/>
      <c r="R30" s="1458" t="n"/>
    </row>
    <row r="31" ht="13.15" customHeight="1" s="1428">
      <c r="B31" s="369" t="inlineStr">
        <is>
          <t>自習</t>
        </is>
      </c>
      <c r="C31" s="369" t="n"/>
      <c r="D31" s="369" t="n"/>
      <c r="E31" s="369" t="n"/>
      <c r="F31" s="369" t="n"/>
      <c r="G31" s="369" t="n"/>
      <c r="H31" s="369" t="n"/>
      <c r="I31" s="369" t="n"/>
      <c r="J31" s="1451" t="n"/>
      <c r="K31" s="1485" t="n"/>
      <c r="L31" s="1451" t="n"/>
      <c r="M31" s="1485" t="n"/>
      <c r="N31" s="369" t="n"/>
      <c r="O31" s="369" t="n"/>
      <c r="P31" s="1451" t="n"/>
      <c r="Q31" s="1484" t="n"/>
      <c r="R31" s="1485" t="n"/>
    </row>
    <row r="32" ht="13.15" customHeight="1" s="1428">
      <c r="B32" s="1387" t="inlineStr">
        <is>
          <t xml:space="preserve">※今年：7/21～8/23（全25日　計145コマ）　昨年：7/21～8/24（全26日　計150コマ）　一昨年：7/21～8/24（全26日　計150コマ）　　　　</t>
        </is>
      </c>
      <c r="C32" s="1479" t="n"/>
      <c r="D32" s="1479" t="n"/>
      <c r="E32" s="1479" t="n"/>
      <c r="F32" s="1479" t="n"/>
      <c r="G32" s="1479" t="n"/>
      <c r="H32" s="1479" t="n"/>
      <c r="I32" s="1479" t="n"/>
      <c r="J32" s="1479" t="n"/>
      <c r="K32" s="1479" t="n"/>
      <c r="L32" s="1479" t="n"/>
      <c r="M32" s="1479" t="n"/>
      <c r="N32" s="1479" t="n"/>
      <c r="O32" s="1479" t="n"/>
      <c r="P32" s="1479" t="n"/>
      <c r="Q32" s="1479" t="n"/>
    </row>
    <row r="33" ht="13.15" customHeight="1" s="1428">
      <c r="J33" s="1388" t="n"/>
      <c r="R33" s="1388" t="n"/>
    </row>
    <row r="34" ht="13.15" customFormat="1" customHeight="1" s="1389" thickBot="1">
      <c r="B34" s="1389" t="inlineStr">
        <is>
          <t>２．授業回数　※梅3A（最多）全21日で88コマ→一日平均4.2コマ</t>
        </is>
      </c>
    </row>
    <row r="35" ht="13.15" customHeight="1" s="1428" thickBot="1">
      <c r="B35" s="1344" t="inlineStr">
        <is>
          <t>クラス</t>
        </is>
      </c>
      <c r="C35" s="1344" t="inlineStr">
        <is>
          <t>国</t>
        </is>
      </c>
      <c r="D35" s="1344" t="inlineStr">
        <is>
          <t>数</t>
        </is>
      </c>
      <c r="E35" s="1344" t="inlineStr">
        <is>
          <t>社</t>
        </is>
      </c>
      <c r="F35" s="1344" t="inlineStr">
        <is>
          <t>理</t>
        </is>
      </c>
      <c r="G35" s="1345" t="inlineStr">
        <is>
          <t>英</t>
        </is>
      </c>
      <c r="H35" s="393" t="inlineStr">
        <is>
          <t>計</t>
        </is>
      </c>
      <c r="I35" s="394" t="n"/>
      <c r="J35" s="1344" t="inlineStr">
        <is>
          <t>クラス</t>
        </is>
      </c>
      <c r="K35" s="1344" t="inlineStr">
        <is>
          <t>国</t>
        </is>
      </c>
      <c r="L35" s="1344" t="inlineStr">
        <is>
          <t>算</t>
        </is>
      </c>
      <c r="M35" s="1344" t="inlineStr">
        <is>
          <t>社</t>
        </is>
      </c>
      <c r="N35" s="1345" t="inlineStr">
        <is>
          <t>理</t>
        </is>
      </c>
      <c r="O35" s="395" t="inlineStr">
        <is>
          <t>計</t>
        </is>
      </c>
      <c r="P35" s="368" t="n"/>
    </row>
    <row r="36" ht="13.15" customHeight="1" s="1428">
      <c r="B36" s="396" t="inlineStr">
        <is>
          <t>梅3Ａ</t>
        </is>
      </c>
      <c r="C36" s="397" t="n">
        <v>14</v>
      </c>
      <c r="D36" s="398" t="n">
        <v>22</v>
      </c>
      <c r="E36" s="397" t="n">
        <v>16</v>
      </c>
      <c r="F36" s="398" t="n">
        <v>16</v>
      </c>
      <c r="G36" s="399" t="n">
        <v>20</v>
      </c>
      <c r="H36" s="400">
        <f>SUM(C36:G36)</f>
        <v/>
      </c>
      <c r="I36" s="394" t="inlineStr">
        <is>
          <t> </t>
        </is>
      </c>
      <c r="J36" s="396" t="inlineStr">
        <is>
          <t>梅６ＪＡ</t>
        </is>
      </c>
      <c r="K36" s="401" t="n">
        <v>17</v>
      </c>
      <c r="L36" s="398" t="n">
        <v>23</v>
      </c>
      <c r="M36" s="397" t="n">
        <v>19</v>
      </c>
      <c r="N36" s="402" t="n">
        <v>17</v>
      </c>
      <c r="O36" s="403">
        <f>SUM(K36:N36)</f>
        <v/>
      </c>
      <c r="P36" s="404" t="n"/>
    </row>
    <row r="37" ht="13.15" customHeight="1" s="1428">
      <c r="B37" s="405" t="inlineStr">
        <is>
          <t>高西3Ａ</t>
        </is>
      </c>
      <c r="C37" s="406" t="n">
        <v>13</v>
      </c>
      <c r="D37" s="407" t="n">
        <v>20</v>
      </c>
      <c r="E37" s="407" t="n">
        <v>13</v>
      </c>
      <c r="F37" s="407" t="n">
        <v>13</v>
      </c>
      <c r="G37" s="408" t="n">
        <v>18</v>
      </c>
      <c r="H37" s="409">
        <f>SUM(C37:G37)</f>
        <v/>
      </c>
      <c r="I37" s="394" t="inlineStr">
        <is>
          <t> </t>
        </is>
      </c>
      <c r="J37" s="410" t="inlineStr">
        <is>
          <t>６Ｊ</t>
        </is>
      </c>
      <c r="K37" s="411" t="n">
        <v>17</v>
      </c>
      <c r="L37" s="412" t="n">
        <v>21</v>
      </c>
      <c r="M37" s="413" t="n">
        <v>16</v>
      </c>
      <c r="N37" s="414" t="n">
        <v>16</v>
      </c>
      <c r="O37" s="415">
        <f>SUM(K37:N37)</f>
        <v/>
      </c>
      <c r="P37" s="394" t="inlineStr">
        <is>
          <t> </t>
        </is>
      </c>
    </row>
    <row r="38" ht="13.15" customHeight="1" s="1428">
      <c r="B38" s="410" t="inlineStr">
        <is>
          <t>3Ｂ・3Ｃ</t>
        </is>
      </c>
      <c r="C38" s="413" t="n">
        <v>13</v>
      </c>
      <c r="D38" s="412" t="n">
        <v>18</v>
      </c>
      <c r="E38" s="412" t="n">
        <v>13</v>
      </c>
      <c r="F38" s="412" t="n">
        <v>13</v>
      </c>
      <c r="G38" s="416" t="n">
        <v>15</v>
      </c>
      <c r="H38" s="415">
        <f>SUM(C38:G38)</f>
        <v/>
      </c>
      <c r="I38" s="417" t="inlineStr">
        <is>
          <t>←自習5コマ</t>
        </is>
      </c>
      <c r="J38" s="369" t="inlineStr">
        <is>
          <t>６通</t>
        </is>
      </c>
      <c r="K38" s="369" t="n">
        <v>7</v>
      </c>
      <c r="L38" s="369" t="n">
        <v>9</v>
      </c>
      <c r="M38" s="1522" t="n">
        <v>8</v>
      </c>
      <c r="N38" s="1523" t="n">
        <v>8</v>
      </c>
      <c r="O38" s="1524">
        <f>SUM(K38:N39)</f>
        <v/>
      </c>
      <c r="P38" s="368" t="n"/>
    </row>
    <row r="39" ht="13.15" customHeight="1" s="1428">
      <c r="B39" s="396" t="inlineStr">
        <is>
          <t>2Ｔ</t>
        </is>
      </c>
      <c r="C39" s="401" t="n">
        <v>8</v>
      </c>
      <c r="D39" s="418" t="n">
        <v>13</v>
      </c>
      <c r="E39" s="401" t="n">
        <v>10</v>
      </c>
      <c r="F39" s="418" t="n">
        <v>11</v>
      </c>
      <c r="G39" s="419" t="n">
        <v>16</v>
      </c>
      <c r="H39" s="420">
        <f>SUM(C39:G39)</f>
        <v/>
      </c>
      <c r="I39" s="394" t="inlineStr">
        <is>
          <t> </t>
        </is>
      </c>
      <c r="J39" s="1443" t="n"/>
      <c r="K39" s="1443" t="n"/>
      <c r="L39" s="1443" t="n"/>
      <c r="M39" s="1443" t="n"/>
      <c r="N39" s="1451" t="n"/>
      <c r="O39" s="1452" t="n"/>
      <c r="P39" s="368" t="n"/>
    </row>
    <row r="40" ht="13.15" customHeight="1" s="1428">
      <c r="B40" s="405" t="inlineStr">
        <is>
          <t>2Ａ</t>
        </is>
      </c>
      <c r="C40" s="411" t="n">
        <v>8</v>
      </c>
      <c r="D40" s="412" t="n">
        <v>12</v>
      </c>
      <c r="E40" s="411" t="n">
        <v>10</v>
      </c>
      <c r="F40" s="412" t="n">
        <v>9</v>
      </c>
      <c r="G40" s="1525" t="n">
        <v>12</v>
      </c>
      <c r="H40" s="415">
        <f>SUM(C40:G41)</f>
        <v/>
      </c>
      <c r="I40" s="394" t="n"/>
      <c r="J40" s="396" t="inlineStr">
        <is>
          <t>５Ｈ</t>
        </is>
      </c>
      <c r="K40" s="1526" t="n">
        <v>7</v>
      </c>
      <c r="L40" s="1526" t="n">
        <v>7</v>
      </c>
      <c r="M40" s="1526" t="n">
        <v>7</v>
      </c>
      <c r="N40" s="1527" t="n">
        <v>7</v>
      </c>
      <c r="O40" s="1528">
        <f>SUM(K40:N40)</f>
        <v/>
      </c>
      <c r="P40" s="368" t="n"/>
    </row>
    <row r="41" ht="13.15" customHeight="1" s="1428">
      <c r="B41" s="1390" t="inlineStr">
        <is>
          <t>2Ｂ</t>
        </is>
      </c>
      <c r="C41" s="1443" t="n"/>
      <c r="D41" s="1443" t="n"/>
      <c r="E41" s="1443" t="n"/>
      <c r="F41" s="1443" t="n"/>
      <c r="G41" s="1456" t="n"/>
      <c r="H41" s="1452" t="n"/>
      <c r="I41" s="394" t="n"/>
      <c r="J41" s="1459" t="n"/>
      <c r="K41" s="1459" t="n"/>
      <c r="L41" s="1459" t="n"/>
      <c r="M41" s="1459" t="n"/>
      <c r="N41" s="1491" t="n"/>
      <c r="O41" s="1492" t="n"/>
      <c r="P41" s="368" t="n"/>
    </row>
    <row r="42" ht="13.15" customHeight="1" s="1428">
      <c r="B42" s="396" t="inlineStr">
        <is>
          <t>梅1特,高西1A</t>
        </is>
      </c>
      <c r="C42" s="401" t="n">
        <v>7</v>
      </c>
      <c r="D42" s="418" t="n">
        <v>13</v>
      </c>
      <c r="E42" s="401" t="n">
        <v>7</v>
      </c>
      <c r="F42" s="401" t="n">
        <v>7</v>
      </c>
      <c r="G42" s="424" t="n">
        <v>12</v>
      </c>
      <c r="H42" s="420">
        <f>SUM(C42:G42)</f>
        <v/>
      </c>
      <c r="I42" s="394" t="n"/>
      <c r="J42" s="1378" t="inlineStr">
        <is>
          <t>４年</t>
        </is>
      </c>
      <c r="K42" s="1380" t="n">
        <v>7</v>
      </c>
      <c r="L42" s="1380" t="n">
        <v>7</v>
      </c>
      <c r="M42" s="1380" t="n">
        <v>3</v>
      </c>
      <c r="N42" s="1381" t="n">
        <v>3</v>
      </c>
      <c r="O42" s="1529">
        <f>SUM(K42:N42)</f>
        <v/>
      </c>
      <c r="P42" s="368" t="n"/>
    </row>
    <row r="43" ht="13.15" customHeight="1" s="1428" thickBot="1">
      <c r="B43" s="1379" t="inlineStr">
        <is>
          <t>梅1A・1B</t>
        </is>
      </c>
      <c r="C43" s="411" t="n">
        <v>7</v>
      </c>
      <c r="D43" s="412" t="n">
        <v>10</v>
      </c>
      <c r="E43" s="411" t="n">
        <v>7</v>
      </c>
      <c r="F43" s="411" t="n">
        <v>7</v>
      </c>
      <c r="G43" s="1530" t="n">
        <v>10</v>
      </c>
      <c r="H43" s="1531">
        <f>SUM(C43:G44)</f>
        <v/>
      </c>
      <c r="I43" s="394" t="n"/>
      <c r="J43" s="1442" t="n"/>
      <c r="K43" s="1442" t="n"/>
      <c r="L43" s="1442" t="n"/>
      <c r="M43" s="1442" t="n"/>
      <c r="N43" s="1482" t="n"/>
      <c r="O43" s="1462" t="n"/>
      <c r="P43" s="368" t="n"/>
    </row>
    <row r="44" ht="13.15" customHeight="1" s="1428" thickBot="1">
      <c r="B44" s="410" t="inlineStr">
        <is>
          <t>高西1B</t>
        </is>
      </c>
      <c r="C44" s="1443" t="n"/>
      <c r="D44" s="1443" t="n"/>
      <c r="E44" s="1443" t="n"/>
      <c r="F44" s="1443" t="n"/>
      <c r="G44" s="1456" t="n"/>
      <c r="H44" s="1462" t="n"/>
      <c r="I44" s="394" t="n"/>
      <c r="J44" s="1358" t="inlineStr">
        <is>
          <t>特別
講座</t>
        </is>
      </c>
      <c r="K44" s="1344" t="inlineStr">
        <is>
          <t>4年算数</t>
        </is>
      </c>
      <c r="L44" s="1344" t="inlineStr">
        <is>
          <t>5H算数</t>
        </is>
      </c>
      <c r="M44" s="1344" t="inlineStr">
        <is>
          <t>5H社会</t>
        </is>
      </c>
      <c r="N44" s="1344" t="inlineStr">
        <is>
          <t>5H理科</t>
        </is>
      </c>
      <c r="O44" s="425" t="n"/>
      <c r="P44" s="368" t="n"/>
    </row>
    <row r="45" ht="13.15" customHeight="1" s="1428">
      <c r="B45" s="426" t="n"/>
      <c r="C45" s="426" t="n"/>
      <c r="D45" s="426" t="n"/>
      <c r="E45" s="426" t="n"/>
      <c r="F45" s="394" t="n"/>
      <c r="G45" s="394" t="n"/>
      <c r="H45" s="394" t="n"/>
      <c r="I45" s="394" t="n"/>
      <c r="J45" s="1443" t="n"/>
      <c r="K45" s="427" t="n">
        <v>6</v>
      </c>
      <c r="L45" s="427" t="n">
        <v>7</v>
      </c>
      <c r="M45" s="369" t="n">
        <v>6</v>
      </c>
      <c r="N45" s="369" t="n">
        <v>6</v>
      </c>
      <c r="O45" s="428" t="n"/>
    </row>
    <row r="46" ht="13.15" customHeight="1" s="1428">
      <c r="B46" s="426" t="n"/>
      <c r="C46" s="426" t="n"/>
      <c r="D46" s="426" t="n"/>
      <c r="E46" s="426" t="n"/>
      <c r="F46" s="394" t="n"/>
      <c r="G46" s="429" t="n"/>
      <c r="H46" s="429" t="n"/>
      <c r="I46" s="394" t="n"/>
      <c r="O46" s="430" t="n"/>
      <c r="Q46" s="357" t="n"/>
    </row>
    <row r="47" ht="13.15" customFormat="1" customHeight="1" s="432">
      <c r="B47" s="1532" t="inlineStr">
        <is>
          <t>注意点</t>
        </is>
      </c>
      <c r="C47" s="1363" t="inlineStr">
        <is>
          <t>⑴　8/8(火) 太宰府（日帰りツアー）</t>
        </is>
      </c>
      <c r="D47" s="1479" t="n"/>
      <c r="E47" s="1479" t="n"/>
      <c r="F47" s="1479" t="n"/>
      <c r="G47" s="1479" t="n"/>
      <c r="H47" s="1479" t="n"/>
      <c r="I47" s="1479" t="n"/>
      <c r="J47" s="1479" t="n"/>
      <c r="K47" s="1479" t="n"/>
      <c r="L47" s="1479" t="n"/>
      <c r="M47" s="1479" t="n"/>
      <c r="N47" s="1479" t="n"/>
      <c r="O47" s="1479" t="n"/>
      <c r="P47" s="1479" t="n"/>
      <c r="Q47" s="431" t="n"/>
    </row>
    <row r="48" ht="13.15" customFormat="1" customHeight="1" s="432">
      <c r="B48" s="1442" t="n"/>
      <c r="C48" s="1533" t="inlineStr">
        <is>
          <t>⑵　コマ数　黒字：昨年と同じ、赤字：2021年と同じ、青字：昨年マイナス1or2</t>
        </is>
      </c>
      <c r="Q48" s="1458" t="n"/>
    </row>
    <row r="49" ht="13.15" customFormat="1" customHeight="1" s="432">
      <c r="B49" s="1442" t="n"/>
      <c r="C49" s="433" t="inlineStr">
        <is>
          <t>⑶　時間帯（1コマ90分）</t>
        </is>
      </c>
      <c r="Q49" s="434" t="n"/>
      <c r="R49" s="435" t="n"/>
    </row>
    <row r="50" ht="13.15" customFormat="1" customHeight="1" s="432">
      <c r="B50" s="1442" t="n"/>
      <c r="C50" s="436" t="inlineStr">
        <is>
          <t xml:space="preserve"> Ⅰ9:30～11:00   Ⅱ 11:15～12:45  Ⅲ 13:20～14:50  Ⅳ 15:05～16:35  Ⅴ 16:50～18:20  Ⅵ 18:35～20:05  Ⅶ(自習) 20:20～21:00   </t>
        </is>
      </c>
      <c r="D50" s="437" t="n"/>
      <c r="E50" s="437" t="n"/>
      <c r="F50" s="437" t="n"/>
      <c r="G50" s="437" t="n"/>
      <c r="H50" s="437" t="n"/>
      <c r="I50" s="437" t="n"/>
      <c r="J50" s="437" t="n"/>
      <c r="K50" s="437" t="n"/>
      <c r="L50" s="437" t="n"/>
      <c r="M50" s="437" t="n"/>
      <c r="N50" s="437" t="n"/>
      <c r="O50" s="437" t="n"/>
      <c r="P50" s="437" t="n"/>
      <c r="Q50" s="438" t="n"/>
    </row>
    <row r="51" ht="13.15" customFormat="1" customHeight="1" s="432">
      <c r="B51" s="1442" t="n"/>
      <c r="C51" s="436" t="inlineStr">
        <is>
          <t>⑷　生徒は前半２回、後半１回休みを取る。</t>
        </is>
      </c>
      <c r="D51" s="439" t="n"/>
      <c r="E51" s="439" t="n"/>
      <c r="F51" s="439" t="n"/>
      <c r="G51" s="439" t="n"/>
      <c r="H51" s="439" t="n"/>
      <c r="I51" s="440" t="n"/>
      <c r="J51" s="439" t="n"/>
      <c r="K51" s="439" t="n"/>
      <c r="L51" s="439" t="n"/>
      <c r="M51" s="439" t="n"/>
      <c r="N51" s="439" t="n"/>
      <c r="O51" s="440" t="n"/>
      <c r="P51" s="441" t="n"/>
      <c r="Q51" s="434" t="n"/>
      <c r="R51" s="437" t="n"/>
    </row>
    <row r="52" ht="13.15" customFormat="1" customHeight="1" s="432">
      <c r="B52" s="1442" t="n"/>
      <c r="C52" s="436" t="inlineStr">
        <is>
          <t>⑸　週休一日の職員は前半３回、後半１回、週休二日の職員は前半４回、後半１回公休を取る。</t>
        </is>
      </c>
      <c r="D52" s="439" t="n"/>
      <c r="E52" s="439" t="n"/>
      <c r="F52" s="439" t="n"/>
      <c r="G52" s="439" t="n"/>
      <c r="H52" s="439" t="n"/>
      <c r="I52" s="440" t="n"/>
      <c r="J52" s="439" t="n"/>
      <c r="K52" s="439" t="n"/>
      <c r="L52" s="439" t="n"/>
      <c r="M52" s="439" t="n"/>
      <c r="N52" s="439" t="n"/>
      <c r="O52" s="440" t="n"/>
      <c r="P52" s="440" t="n"/>
      <c r="Q52" s="434" t="n"/>
    </row>
    <row r="53" ht="13.15" customFormat="1" customHeight="1" s="432">
      <c r="B53" s="1443" t="n"/>
      <c r="C53" s="442" t="n"/>
      <c r="D53" s="443" t="n"/>
      <c r="E53" s="443" t="n"/>
      <c r="F53" s="443" t="n"/>
      <c r="G53" s="443" t="n"/>
      <c r="H53" s="443" t="n"/>
      <c r="I53" s="444" t="n"/>
      <c r="J53" s="443" t="n"/>
      <c r="K53" s="443" t="n"/>
      <c r="L53" s="443" t="n"/>
      <c r="M53" s="443" t="n"/>
      <c r="N53" s="443" t="n"/>
      <c r="O53" s="444" t="n"/>
      <c r="P53" s="444" t="n"/>
      <c r="Q53" s="445" t="n"/>
    </row>
    <row r="54" ht="13.15" customHeight="1" s="1428"/>
    <row r="55" ht="13.15" customHeight="1" s="1428">
      <c r="C55" s="1344" t="inlineStr">
        <is>
          <t>梅光園</t>
        </is>
      </c>
      <c r="D55" s="1465" t="n"/>
      <c r="E55" s="387" t="n"/>
      <c r="F55" s="1344" t="inlineStr">
        <is>
          <t>六本松</t>
        </is>
      </c>
      <c r="G55" s="1465" t="n"/>
      <c r="H55" s="387" t="n"/>
      <c r="I55" s="1344" t="inlineStr">
        <is>
          <t>高宮</t>
        </is>
      </c>
      <c r="J55" s="1465" t="n"/>
      <c r="K55" s="387" t="n"/>
      <c r="L55" s="1344" t="inlineStr">
        <is>
          <t>西新</t>
        </is>
      </c>
      <c r="M55" s="1465" t="n"/>
      <c r="N55" s="387" t="n"/>
      <c r="O55" s="368" t="n"/>
      <c r="P55" s="368" t="n"/>
    </row>
    <row r="56" ht="13.15" customHeight="1" s="1428">
      <c r="C56" s="446" t="inlineStr">
        <is>
          <t>3A</t>
        </is>
      </c>
      <c r="D56" s="447">
        <f>H36</f>
        <v/>
      </c>
      <c r="E56" s="448" t="n"/>
      <c r="F56" s="446" t="inlineStr">
        <is>
          <t>3B</t>
        </is>
      </c>
      <c r="G56" s="447">
        <f>H38</f>
        <v/>
      </c>
      <c r="H56" s="448" t="n"/>
      <c r="I56" s="446" t="inlineStr">
        <is>
          <t>3A</t>
        </is>
      </c>
      <c r="J56" s="447">
        <f>H37</f>
        <v/>
      </c>
      <c r="K56" s="448" t="n"/>
      <c r="L56" s="446" t="inlineStr">
        <is>
          <t>3A</t>
        </is>
      </c>
      <c r="M56" s="447">
        <f>H37</f>
        <v/>
      </c>
      <c r="N56" s="387" t="n"/>
    </row>
    <row r="57" ht="13.15" customHeight="1" s="1428">
      <c r="C57" s="446" t="inlineStr">
        <is>
          <t>2T</t>
        </is>
      </c>
      <c r="D57" s="449" t="n">
        <v>58</v>
      </c>
      <c r="E57" s="448" t="n"/>
      <c r="F57" s="446" t="inlineStr">
        <is>
          <t>3C</t>
        </is>
      </c>
      <c r="G57" s="447">
        <f>H38</f>
        <v/>
      </c>
      <c r="H57" s="448" t="n"/>
      <c r="I57" s="446" t="inlineStr">
        <is>
          <t>3B</t>
        </is>
      </c>
      <c r="J57" s="447">
        <f>H38</f>
        <v/>
      </c>
      <c r="K57" s="448" t="n"/>
      <c r="L57" s="446" t="inlineStr">
        <is>
          <t>3B</t>
        </is>
      </c>
      <c r="M57" s="447">
        <f>H38</f>
        <v/>
      </c>
      <c r="N57" s="387" t="n"/>
    </row>
    <row r="58" ht="13.15" customHeight="1" s="1428">
      <c r="C58" s="450" t="inlineStr">
        <is>
          <t>1特</t>
        </is>
      </c>
      <c r="D58" s="447" t="n">
        <v>46</v>
      </c>
      <c r="E58" s="448" t="n"/>
      <c r="F58" s="446" t="inlineStr">
        <is>
          <t>2A</t>
        </is>
      </c>
      <c r="G58" s="449">
        <f>H40</f>
        <v/>
      </c>
      <c r="H58" s="448" t="n"/>
      <c r="I58" s="446" t="inlineStr">
        <is>
          <t>2T</t>
        </is>
      </c>
      <c r="J58" s="449" t="n">
        <v>58</v>
      </c>
      <c r="K58" s="448" t="n"/>
      <c r="L58" s="446" t="inlineStr">
        <is>
          <t>2T</t>
        </is>
      </c>
      <c r="M58" s="449" t="n">
        <v>58</v>
      </c>
      <c r="N58" s="387" t="n"/>
    </row>
    <row r="59" ht="13.15" customHeight="1" s="1428">
      <c r="C59" s="450" t="inlineStr">
        <is>
          <t>1A</t>
        </is>
      </c>
      <c r="D59" s="447" t="n">
        <v>41</v>
      </c>
      <c r="E59" s="448" t="n"/>
      <c r="F59" s="446" t="inlineStr">
        <is>
          <t>2B</t>
        </is>
      </c>
      <c r="G59" s="449">
        <f>H40</f>
        <v/>
      </c>
      <c r="H59" s="448" t="n"/>
      <c r="I59" s="446" t="inlineStr">
        <is>
          <t>2Ａ</t>
        </is>
      </c>
      <c r="J59" s="449" t="n">
        <v>51</v>
      </c>
      <c r="K59" s="448" t="n"/>
      <c r="L59" s="446" t="inlineStr">
        <is>
          <t>2A</t>
        </is>
      </c>
      <c r="M59" s="449" t="n">
        <v>51</v>
      </c>
      <c r="N59" s="387" t="n"/>
    </row>
    <row r="60" ht="13.15" customHeight="1" s="1428">
      <c r="C60" s="450" t="inlineStr">
        <is>
          <t>1B</t>
        </is>
      </c>
      <c r="D60" s="447" t="n">
        <v>41</v>
      </c>
      <c r="E60" s="448" t="n"/>
      <c r="F60" s="446" t="inlineStr">
        <is>
          <t>6通B</t>
        </is>
      </c>
      <c r="G60" s="449">
        <f>O38</f>
        <v/>
      </c>
      <c r="H60" s="448" t="n"/>
      <c r="I60" s="446" t="inlineStr">
        <is>
          <t>1A</t>
        </is>
      </c>
      <c r="J60" s="451" t="n">
        <v>46</v>
      </c>
      <c r="K60" s="448" t="n"/>
      <c r="L60" s="446" t="inlineStr">
        <is>
          <t>1A</t>
        </is>
      </c>
      <c r="M60" s="447" t="n">
        <v>46</v>
      </c>
      <c r="N60" s="387" t="n"/>
    </row>
    <row r="61" ht="13.15" customHeight="1" s="1428">
      <c r="C61" s="446" t="inlineStr">
        <is>
          <t>6受A</t>
        </is>
      </c>
      <c r="D61" s="447">
        <f>O36</f>
        <v/>
      </c>
      <c r="E61" s="448" t="n"/>
      <c r="F61" s="446" t="n"/>
      <c r="G61" s="449" t="n"/>
      <c r="H61" s="448" t="n"/>
      <c r="I61" s="446" t="inlineStr">
        <is>
          <t>1B</t>
        </is>
      </c>
      <c r="J61" s="447" t="n">
        <v>41</v>
      </c>
      <c r="K61" s="448" t="n"/>
      <c r="L61" s="446" t="inlineStr">
        <is>
          <t>1B</t>
        </is>
      </c>
      <c r="M61" s="447" t="n">
        <v>41</v>
      </c>
      <c r="N61" s="387" t="n"/>
    </row>
    <row r="62" ht="13.15" customHeight="1" s="1428">
      <c r="C62" s="369" t="inlineStr">
        <is>
          <t>6受B</t>
        </is>
      </c>
      <c r="D62" s="447">
        <f>O37</f>
        <v/>
      </c>
      <c r="E62" s="448" t="n"/>
      <c r="F62" s="446" t="inlineStr">
        <is>
          <t>4年</t>
        </is>
      </c>
      <c r="G62" s="449">
        <f>O42</f>
        <v/>
      </c>
      <c r="H62" s="448" t="n"/>
      <c r="I62" s="446" t="inlineStr">
        <is>
          <t>6受</t>
        </is>
      </c>
      <c r="J62" s="447">
        <f>O37</f>
        <v/>
      </c>
      <c r="K62" s="448" t="n"/>
      <c r="L62" s="446" t="inlineStr">
        <is>
          <t>6受</t>
        </is>
      </c>
      <c r="M62" s="447">
        <f>O37</f>
        <v/>
      </c>
      <c r="N62" s="387" t="n"/>
    </row>
    <row r="63" ht="13.15" customHeight="1" s="1428">
      <c r="C63" s="446" t="inlineStr">
        <is>
          <t>6通A</t>
        </is>
      </c>
      <c r="D63" s="449" t="n">
        <v>32</v>
      </c>
      <c r="E63" s="448" t="n"/>
      <c r="F63" s="446" t="inlineStr">
        <is>
          <t>4外</t>
        </is>
      </c>
      <c r="G63" s="452">
        <f>O42</f>
        <v/>
      </c>
      <c r="H63" s="448" t="n"/>
      <c r="I63" s="446" t="inlineStr">
        <is>
          <t>6通</t>
        </is>
      </c>
      <c r="J63" s="449" t="n">
        <v>32</v>
      </c>
      <c r="K63" s="448" t="n"/>
      <c r="L63" s="446" t="inlineStr">
        <is>
          <t>6通</t>
        </is>
      </c>
      <c r="M63" s="449" t="n">
        <v>32</v>
      </c>
      <c r="N63" s="387" t="n"/>
    </row>
    <row r="64" ht="13.15" customHeight="1" s="1428">
      <c r="C64" s="369" t="inlineStr">
        <is>
          <t>5HA</t>
        </is>
      </c>
      <c r="D64" s="449" t="n">
        <v>28</v>
      </c>
      <c r="E64" s="448" t="n"/>
      <c r="F64" s="446" t="inlineStr">
        <is>
          <t>4年算数講座</t>
        </is>
      </c>
      <c r="G64" s="449">
        <f>K45</f>
        <v/>
      </c>
      <c r="H64" s="448" t="n"/>
      <c r="I64" s="446" t="inlineStr">
        <is>
          <t>5H</t>
        </is>
      </c>
      <c r="J64" s="449" t="n">
        <v>28</v>
      </c>
      <c r="K64" s="448" t="n"/>
      <c r="L64" s="446" t="inlineStr">
        <is>
          <t>5H</t>
        </is>
      </c>
      <c r="M64" s="449" t="n">
        <v>28</v>
      </c>
      <c r="N64" s="387" t="n"/>
    </row>
    <row r="65" ht="13.15" customHeight="1" s="1428">
      <c r="C65" s="369" t="inlineStr">
        <is>
          <t>5HB・外</t>
        </is>
      </c>
      <c r="D65" s="449" t="n">
        <v>28</v>
      </c>
      <c r="E65" s="448" t="n"/>
      <c r="F65" s="446" t="n"/>
      <c r="G65" s="449" t="n"/>
      <c r="H65" s="448" t="n"/>
      <c r="I65" s="446" t="inlineStr">
        <is>
          <t>4年</t>
        </is>
      </c>
      <c r="J65" s="449" t="n">
        <v>20</v>
      </c>
      <c r="K65" s="448" t="n"/>
      <c r="L65" s="446" t="inlineStr">
        <is>
          <t>4年</t>
        </is>
      </c>
      <c r="M65" s="449" t="n">
        <v>20</v>
      </c>
      <c r="N65" s="387" t="n"/>
    </row>
    <row r="66" ht="13.15" customHeight="1" s="1428">
      <c r="C66" s="369" t="n"/>
      <c r="D66" s="449" t="n"/>
      <c r="E66" s="448" t="n"/>
      <c r="F66" s="446" t="n"/>
      <c r="G66" s="449" t="n"/>
      <c r="H66" s="448" t="n"/>
      <c r="I66" s="446" t="inlineStr">
        <is>
          <t>5年算数講座</t>
        </is>
      </c>
      <c r="J66" s="449" t="n">
        <v>7</v>
      </c>
      <c r="K66" s="448" t="n"/>
      <c r="L66" s="446" t="inlineStr">
        <is>
          <t>5年算数講座</t>
        </is>
      </c>
      <c r="M66" s="449" t="n">
        <v>7</v>
      </c>
      <c r="N66" s="387" t="n"/>
    </row>
    <row r="67" ht="13.15" customHeight="1" s="1428">
      <c r="C67" s="369" t="inlineStr">
        <is>
          <t>5HA算数講座</t>
        </is>
      </c>
      <c r="D67" s="449" t="n">
        <v>7</v>
      </c>
      <c r="E67" s="448" t="n"/>
      <c r="F67" s="446" t="n"/>
      <c r="G67" s="449" t="n"/>
      <c r="H67" s="448" t="n"/>
      <c r="I67" s="446" t="inlineStr">
        <is>
          <t>5年社会講座</t>
        </is>
      </c>
      <c r="J67" s="449" t="n">
        <v>6</v>
      </c>
      <c r="K67" s="448" t="n"/>
      <c r="L67" s="446" t="inlineStr">
        <is>
          <t>5年社会講座</t>
        </is>
      </c>
      <c r="M67" s="453" t="n">
        <v>6</v>
      </c>
      <c r="N67" s="387" t="n"/>
    </row>
    <row r="68" ht="13.15" customHeight="1" s="1428">
      <c r="C68" s="369" t="inlineStr">
        <is>
          <t>5HA社会講座</t>
        </is>
      </c>
      <c r="D68" s="449" t="n">
        <v>6</v>
      </c>
      <c r="E68" s="448" t="n"/>
      <c r="F68" s="446" t="n"/>
      <c r="G68" s="449" t="n"/>
      <c r="H68" s="448" t="n"/>
      <c r="I68" s="1368" t="inlineStr">
        <is>
          <t>5年理科講座</t>
        </is>
      </c>
      <c r="J68" s="449" t="n">
        <v>6</v>
      </c>
      <c r="K68" s="448" t="n"/>
      <c r="L68" s="1368" t="inlineStr">
        <is>
          <t>5年理科講座</t>
        </is>
      </c>
      <c r="M68" s="449" t="n">
        <v>6</v>
      </c>
      <c r="N68" s="387" t="n"/>
    </row>
    <row r="69" ht="13.15" customHeight="1" s="1428">
      <c r="C69" s="369" t="inlineStr">
        <is>
          <t>5HA理科講座</t>
        </is>
      </c>
      <c r="D69" s="449" t="n">
        <v>6</v>
      </c>
      <c r="E69" s="454" t="n"/>
      <c r="F69" s="455" t="n"/>
      <c r="G69" s="455" t="n"/>
      <c r="H69" s="448" t="n"/>
      <c r="I69" s="446" t="inlineStr">
        <is>
          <t>4年算数講座</t>
        </is>
      </c>
      <c r="J69" s="449" t="n">
        <v>6</v>
      </c>
      <c r="K69" s="448" t="n"/>
      <c r="L69" s="446" t="inlineStr">
        <is>
          <t>4年算数講座</t>
        </is>
      </c>
      <c r="M69" s="449" t="n">
        <v>6</v>
      </c>
      <c r="N69" s="387" t="n"/>
    </row>
    <row r="70" ht="13.15" customHeight="1" s="1428">
      <c r="C70" s="456" t="n"/>
      <c r="D70" s="457" t="n"/>
      <c r="E70" s="394" t="n"/>
      <c r="F70" s="458" t="n"/>
      <c r="G70" s="458" t="n"/>
      <c r="H70" s="387" t="n"/>
      <c r="I70" s="456" t="n"/>
      <c r="J70" s="459" t="n"/>
      <c r="K70" s="387" t="n"/>
      <c r="L70" s="458" t="n"/>
      <c r="M70" s="458" t="n"/>
      <c r="N70" s="387" t="n"/>
    </row>
    <row r="71" ht="13.15" customHeight="1" s="1428">
      <c r="C71" s="456" t="inlineStr">
        <is>
          <t>中1算数基礎</t>
        </is>
      </c>
      <c r="D71" s="459" t="n">
        <v>0</v>
      </c>
      <c r="E71" s="394" t="n"/>
      <c r="F71" s="458" t="n"/>
      <c r="G71" s="458" t="n"/>
      <c r="H71" s="387" t="n"/>
      <c r="I71" s="456" t="inlineStr">
        <is>
          <t> </t>
        </is>
      </c>
      <c r="J71" s="459" t="inlineStr">
        <is>
          <t> </t>
        </is>
      </c>
      <c r="K71" s="387" t="n"/>
      <c r="L71" s="456" t="n"/>
      <c r="M71" s="459" t="n"/>
      <c r="N71" s="389" t="n"/>
    </row>
    <row r="72" ht="13.15" customHeight="1" s="1428">
      <c r="C72" s="460" t="inlineStr">
        <is>
          <t>合計</t>
        </is>
      </c>
      <c r="D72" s="461">
        <f>SUM(D56:D71)</f>
        <v/>
      </c>
      <c r="E72" s="462" t="n"/>
      <c r="F72" s="461" t="inlineStr">
        <is>
          <t>合計</t>
        </is>
      </c>
      <c r="G72" s="461">
        <f>SUM(G56:G71)</f>
        <v/>
      </c>
      <c r="H72" s="463" t="n"/>
      <c r="I72" s="461" t="inlineStr">
        <is>
          <t>合計</t>
        </is>
      </c>
      <c r="J72" s="461">
        <f>SUM(J56:J71)</f>
        <v/>
      </c>
      <c r="K72" s="462" t="n"/>
      <c r="L72" s="461" t="inlineStr">
        <is>
          <t>合計</t>
        </is>
      </c>
      <c r="M72" s="461">
        <f>SUM(M56:M71)</f>
        <v/>
      </c>
      <c r="N72" s="368" t="n"/>
      <c r="O72" s="1534" t="inlineStr">
        <is>
          <t>➜合計</t>
        </is>
      </c>
      <c r="P72" s="465">
        <f>SUM(D72+G72+J72+M72)</f>
        <v/>
      </c>
      <c r="Q72" s="466" t="inlineStr">
        <is>
          <t>差</t>
        </is>
      </c>
      <c r="R72" s="467" t="n"/>
    </row>
    <row r="73" ht="13.15" customHeight="1" s="1428">
      <c r="C73" s="461" t="inlineStr">
        <is>
          <t>可能数</t>
        </is>
      </c>
      <c r="D73" s="461">
        <f>150*5</f>
        <v/>
      </c>
      <c r="E73" s="462" t="n"/>
      <c r="F73" s="461" t="inlineStr">
        <is>
          <t>可能数</t>
        </is>
      </c>
      <c r="G73" s="461">
        <f>150*4</f>
        <v/>
      </c>
      <c r="H73" s="463" t="n"/>
      <c r="I73" s="461" t="inlineStr">
        <is>
          <t>可能数</t>
        </is>
      </c>
      <c r="J73" s="461">
        <f>150*8</f>
        <v/>
      </c>
      <c r="K73" s="462" t="n"/>
      <c r="L73" s="461" t="inlineStr">
        <is>
          <t>可能数</t>
        </is>
      </c>
      <c r="M73" s="461">
        <f>150*6</f>
        <v/>
      </c>
      <c r="N73" s="368" t="n"/>
      <c r="O73" s="468" t="inlineStr">
        <is>
          <t>(昨年)</t>
        </is>
      </c>
      <c r="P73" s="465">
        <f>D75+G75+J75+M75</f>
        <v/>
      </c>
      <c r="Q73" s="469">
        <f>P72-P73</f>
        <v/>
      </c>
      <c r="R73" s="389" t="n"/>
    </row>
    <row r="74" ht="6" customHeight="1" s="1428">
      <c r="C74" s="462" t="n"/>
      <c r="D74" s="462" t="n"/>
      <c r="E74" s="462" t="n"/>
      <c r="F74" s="462" t="n"/>
      <c r="G74" s="462" t="n"/>
      <c r="H74" s="463" t="n"/>
      <c r="I74" s="462" t="n"/>
      <c r="J74" s="462" t="n"/>
      <c r="K74" s="462" t="n"/>
      <c r="L74" s="462" t="n"/>
      <c r="M74" s="462" t="n"/>
      <c r="N74" s="368" t="n"/>
      <c r="O74" s="468" t="n"/>
      <c r="P74" s="465" t="n"/>
      <c r="Q74" s="389" t="n"/>
      <c r="R74" s="389" t="n"/>
    </row>
    <row r="75" ht="13.15" customHeight="1" s="1428">
      <c r="C75" s="470" t="inlineStr">
        <is>
          <t>（昨年）</t>
        </is>
      </c>
      <c r="D75" s="462" t="n">
        <v>631</v>
      </c>
      <c r="E75" s="462" t="n"/>
      <c r="F75" s="470" t="inlineStr">
        <is>
          <t>（昨年）</t>
        </is>
      </c>
      <c r="G75" s="462" t="n">
        <v>331</v>
      </c>
      <c r="H75" s="463" t="n"/>
      <c r="I75" s="470" t="inlineStr">
        <is>
          <t>（昨年）</t>
        </is>
      </c>
      <c r="J75" s="462" t="n">
        <v>535</v>
      </c>
      <c r="K75" s="462" t="n"/>
      <c r="L75" s="470" t="inlineStr">
        <is>
          <t>（昨年）</t>
        </is>
      </c>
      <c r="M75" s="462" t="n">
        <v>564</v>
      </c>
      <c r="N75" s="368" t="n"/>
      <c r="O75" s="468" t="n"/>
      <c r="P75" s="465" t="n"/>
      <c r="Q75" s="389" t="n"/>
      <c r="R75" s="389" t="n"/>
    </row>
    <row r="76" ht="13.15" customHeight="1" s="1428">
      <c r="C76" s="471" t="inlineStr">
        <is>
          <t>差</t>
        </is>
      </c>
      <c r="D76" s="472">
        <f>D72-D75</f>
        <v/>
      </c>
      <c r="E76" s="473" t="n"/>
      <c r="F76" s="471" t="inlineStr">
        <is>
          <t>差</t>
        </is>
      </c>
      <c r="G76" s="472">
        <f>G72-G75</f>
        <v/>
      </c>
      <c r="H76" s="474" t="n"/>
      <c r="I76" s="471" t="inlineStr">
        <is>
          <t>差</t>
        </is>
      </c>
      <c r="J76" s="472">
        <f>J72-J75</f>
        <v/>
      </c>
      <c r="K76" s="473" t="n"/>
      <c r="L76" s="471" t="inlineStr">
        <is>
          <t>差</t>
        </is>
      </c>
      <c r="M76" s="472">
        <f>M72-M75</f>
        <v/>
      </c>
      <c r="N76" s="368" t="n"/>
      <c r="O76" s="368" t="n"/>
      <c r="P76" s="368" t="n"/>
    </row>
    <row r="77" ht="13.15" customHeight="1" s="1428">
      <c r="C77" s="475" t="n"/>
      <c r="D77" s="475" t="n"/>
      <c r="E77" s="473" t="n"/>
      <c r="F77" s="475" t="n"/>
      <c r="G77" s="475" t="n"/>
      <c r="H77" s="474" t="n"/>
      <c r="I77" s="475" t="n"/>
      <c r="J77" s="475" t="n"/>
      <c r="K77" s="473" t="n"/>
      <c r="L77" s="475" t="n"/>
      <c r="M77" s="475" t="n"/>
      <c r="N77" s="368" t="n"/>
      <c r="O77" s="368" t="n"/>
      <c r="P77" s="368" t="n"/>
    </row>
    <row r="78" ht="20.25" customFormat="1" customHeight="1" s="1350" thickBot="1">
      <c r="B78" s="1349" t="inlineStr">
        <is>
          <t>３．担当者（●：変更・新規、★：飛び）</t>
        </is>
      </c>
    </row>
    <row r="79" ht="20.25" customHeight="1" s="1428" thickBot="1">
      <c r="B79" s="1351" t="inlineStr">
        <is>
          <t>梅光園</t>
        </is>
      </c>
      <c r="C79" s="1467" t="n"/>
      <c r="D79" s="1467" t="n"/>
      <c r="E79" s="1467" t="n"/>
      <c r="F79" s="1467" t="n"/>
      <c r="G79" s="1467" t="n"/>
      <c r="H79" s="1468" t="n"/>
      <c r="I79" s="394" t="n"/>
      <c r="J79" s="1351" t="inlineStr">
        <is>
          <t>六本松</t>
        </is>
      </c>
      <c r="K79" s="1467" t="n"/>
      <c r="L79" s="1467" t="n"/>
      <c r="M79" s="1467" t="n"/>
      <c r="N79" s="1467" t="n"/>
      <c r="O79" s="1467" t="n"/>
      <c r="P79" s="1468" t="n"/>
    </row>
    <row r="80" ht="20.25" customHeight="1" s="1428" thickBot="1" thickTop="1">
      <c r="B80" s="477" t="inlineStr">
        <is>
          <t>クラス</t>
        </is>
      </c>
      <c r="C80" s="478" t="inlineStr">
        <is>
          <t>担任</t>
        </is>
      </c>
      <c r="D80" s="479" t="inlineStr">
        <is>
          <t>国語</t>
        </is>
      </c>
      <c r="E80" s="480" t="inlineStr">
        <is>
          <t>数学</t>
        </is>
      </c>
      <c r="F80" s="480" t="inlineStr">
        <is>
          <t>社会</t>
        </is>
      </c>
      <c r="G80" s="480" t="inlineStr">
        <is>
          <t>理科</t>
        </is>
      </c>
      <c r="H80" s="481" t="inlineStr">
        <is>
          <t>英語</t>
        </is>
      </c>
      <c r="I80" s="387" t="n"/>
      <c r="J80" s="477" t="inlineStr">
        <is>
          <t>クラス</t>
        </is>
      </c>
      <c r="K80" s="478" t="inlineStr">
        <is>
          <t>担任</t>
        </is>
      </c>
      <c r="L80" s="479" t="inlineStr">
        <is>
          <t>国語</t>
        </is>
      </c>
      <c r="M80" s="480" t="inlineStr">
        <is>
          <t>数学</t>
        </is>
      </c>
      <c r="N80" s="480" t="inlineStr">
        <is>
          <t>社会</t>
        </is>
      </c>
      <c r="O80" s="480" t="inlineStr">
        <is>
          <t>理科</t>
        </is>
      </c>
      <c r="P80" s="481" t="inlineStr">
        <is>
          <t>英語</t>
        </is>
      </c>
    </row>
    <row r="81" ht="20.25" customHeight="1" s="1428" thickBot="1" thickTop="1">
      <c r="A81" s="358" t="n">
        <v>28</v>
      </c>
      <c r="B81" s="482" t="inlineStr">
        <is>
          <t>3A</t>
        </is>
      </c>
      <c r="C81" s="483" t="inlineStr">
        <is>
          <t>黒岩</t>
        </is>
      </c>
      <c r="D81" s="484" t="inlineStr">
        <is>
          <t>馬渡14</t>
        </is>
      </c>
      <c r="E81" s="485" t="inlineStr">
        <is>
          <t>黒岩22</t>
        </is>
      </c>
      <c r="F81" s="485" t="inlineStr">
        <is>
          <t>藤田16</t>
        </is>
      </c>
      <c r="G81" s="485" t="inlineStr">
        <is>
          <t>和久16</t>
        </is>
      </c>
      <c r="H81" s="486" t="inlineStr">
        <is>
          <t>中村20</t>
        </is>
      </c>
      <c r="I81" s="487" t="n">
        <v>53</v>
      </c>
      <c r="J81" s="488" t="inlineStr">
        <is>
          <t>3B</t>
        </is>
      </c>
      <c r="K81" s="489" t="inlineStr">
        <is>
          <t>日高</t>
        </is>
      </c>
      <c r="L81" s="490" t="inlineStr">
        <is>
          <t>日高13</t>
        </is>
      </c>
      <c r="M81" s="1390" t="inlineStr">
        <is>
          <t>伊地知18</t>
        </is>
      </c>
      <c r="N81" s="1390" t="inlineStr">
        <is>
          <t>野口13</t>
        </is>
      </c>
      <c r="O81" s="1390" t="inlineStr">
        <is>
          <t>平野13</t>
        </is>
      </c>
      <c r="P81" s="491" t="inlineStr">
        <is>
          <t>中村15</t>
        </is>
      </c>
    </row>
    <row r="82" ht="20.25" customHeight="1" s="1428" thickBot="1">
      <c r="A82" s="358" t="n">
        <v>33</v>
      </c>
      <c r="B82" s="492" t="inlineStr">
        <is>
          <t>2特</t>
        </is>
      </c>
      <c r="C82" s="493" t="inlineStr">
        <is>
          <t>中村</t>
        </is>
      </c>
      <c r="D82" s="494" t="inlineStr">
        <is>
          <t>馬渡8</t>
        </is>
      </c>
      <c r="E82" s="495" t="inlineStr">
        <is>
          <t>黒岩13</t>
        </is>
      </c>
      <c r="F82" s="495" t="inlineStr">
        <is>
          <t>藤田10</t>
        </is>
      </c>
      <c r="G82" s="495" t="inlineStr">
        <is>
          <t>和久11</t>
        </is>
      </c>
      <c r="H82" s="496" t="inlineStr">
        <is>
          <t>中村16</t>
        </is>
      </c>
      <c r="I82" s="487" t="n">
        <v>45</v>
      </c>
      <c r="J82" s="497" t="inlineStr">
        <is>
          <t>3C</t>
        </is>
      </c>
      <c r="K82" s="483" t="inlineStr">
        <is>
          <t>伊地知</t>
        </is>
      </c>
      <c r="L82" s="484" t="inlineStr">
        <is>
          <t>日高13</t>
        </is>
      </c>
      <c r="M82" s="485" t="inlineStr">
        <is>
          <t>伊地知18</t>
        </is>
      </c>
      <c r="N82" s="485" t="inlineStr">
        <is>
          <t>野口13</t>
        </is>
      </c>
      <c r="O82" s="485" t="inlineStr">
        <is>
          <t>平野13</t>
        </is>
      </c>
      <c r="P82" s="486" t="inlineStr">
        <is>
          <t>堀15</t>
        </is>
      </c>
    </row>
    <row r="83" ht="20.25" customHeight="1" s="1428">
      <c r="A83" s="358" t="n">
        <v>50</v>
      </c>
      <c r="B83" s="498" t="inlineStr">
        <is>
          <t>1特</t>
        </is>
      </c>
      <c r="C83" s="499" t="inlineStr">
        <is>
          <t>黒岩</t>
        </is>
      </c>
      <c r="D83" s="500" t="inlineStr">
        <is>
          <t>馬渡7</t>
        </is>
      </c>
      <c r="E83" s="501" t="inlineStr">
        <is>
          <t>黒岩13</t>
        </is>
      </c>
      <c r="F83" s="502" t="inlineStr">
        <is>
          <t>●長本7</t>
        </is>
      </c>
      <c r="G83" s="503" t="inlineStr">
        <is>
          <t>和久7</t>
        </is>
      </c>
      <c r="H83" s="504" t="inlineStr">
        <is>
          <t>中村12</t>
        </is>
      </c>
      <c r="I83" s="487" t="n">
        <v>48</v>
      </c>
      <c r="J83" s="505" t="inlineStr">
        <is>
          <t>2A</t>
        </is>
      </c>
      <c r="K83" s="499" t="inlineStr">
        <is>
          <t>日高</t>
        </is>
      </c>
      <c r="L83" s="506" t="inlineStr">
        <is>
          <t>日高8</t>
        </is>
      </c>
      <c r="M83" s="502" t="inlineStr">
        <is>
          <t>●伊地知12</t>
        </is>
      </c>
      <c r="N83" s="501" t="inlineStr">
        <is>
          <t>長本10</t>
        </is>
      </c>
      <c r="O83" s="501" t="inlineStr">
        <is>
          <t>平野9</t>
        </is>
      </c>
      <c r="P83" s="507" t="inlineStr">
        <is>
          <t>●中村12</t>
        </is>
      </c>
    </row>
    <row r="84" ht="20.25" customHeight="1" s="1428" thickBot="1">
      <c r="A84" s="358" t="n">
        <v>49</v>
      </c>
      <c r="B84" s="508" t="inlineStr">
        <is>
          <t>1A</t>
        </is>
      </c>
      <c r="C84" s="489" t="inlineStr">
        <is>
          <t>中村</t>
        </is>
      </c>
      <c r="D84" s="490" t="inlineStr">
        <is>
          <t>馬渡7</t>
        </is>
      </c>
      <c r="E84" s="509" t="inlineStr">
        <is>
          <t>●堀10</t>
        </is>
      </c>
      <c r="F84" s="1369" t="inlineStr">
        <is>
          <t>長本7</t>
        </is>
      </c>
      <c r="G84" s="1369" t="inlineStr">
        <is>
          <t>和久7</t>
        </is>
      </c>
      <c r="H84" s="491" t="inlineStr">
        <is>
          <t>中村10</t>
        </is>
      </c>
      <c r="I84" s="487" t="n">
        <v>39</v>
      </c>
      <c r="J84" s="510" t="inlineStr">
        <is>
          <t>2B</t>
        </is>
      </c>
      <c r="K84" s="511" t="inlineStr">
        <is>
          <t>平野</t>
        </is>
      </c>
      <c r="L84" s="512" t="inlineStr">
        <is>
          <t>●馬渡8</t>
        </is>
      </c>
      <c r="M84" s="513" t="inlineStr">
        <is>
          <t>★柿木12</t>
        </is>
      </c>
      <c r="N84" s="514" t="inlineStr">
        <is>
          <t>長本10</t>
        </is>
      </c>
      <c r="O84" s="514" t="inlineStr">
        <is>
          <t>平野9</t>
        </is>
      </c>
      <c r="P84" s="515" t="inlineStr">
        <is>
          <t>堀12</t>
        </is>
      </c>
    </row>
    <row r="85" ht="20.25" customHeight="1" s="1428" thickBot="1" thickTop="1">
      <c r="A85" s="358" t="n">
        <v>5</v>
      </c>
      <c r="B85" s="516" t="inlineStr">
        <is>
          <t>1B</t>
        </is>
      </c>
      <c r="C85" s="511" t="inlineStr">
        <is>
          <t>堀</t>
        </is>
      </c>
      <c r="D85" s="517" t="inlineStr">
        <is>
          <t>馬渡7</t>
        </is>
      </c>
      <c r="E85" s="518" t="inlineStr">
        <is>
          <t>★柿木10</t>
        </is>
      </c>
      <c r="F85" s="514" t="inlineStr">
        <is>
          <t>長本7</t>
        </is>
      </c>
      <c r="G85" s="514" t="inlineStr">
        <is>
          <t>和久7</t>
        </is>
      </c>
      <c r="H85" s="519" t="inlineStr">
        <is>
          <t>堀10</t>
        </is>
      </c>
      <c r="I85" s="487" t="n"/>
      <c r="J85" s="477" t="inlineStr">
        <is>
          <t>クラス</t>
        </is>
      </c>
      <c r="K85" s="478" t="inlineStr">
        <is>
          <t>担任</t>
        </is>
      </c>
      <c r="L85" s="479" t="inlineStr">
        <is>
          <t>国語</t>
        </is>
      </c>
      <c r="M85" s="480" t="inlineStr">
        <is>
          <t>算数</t>
        </is>
      </c>
      <c r="N85" s="480" t="inlineStr">
        <is>
          <t>社会</t>
        </is>
      </c>
      <c r="O85" s="520" t="inlineStr">
        <is>
          <t>理科</t>
        </is>
      </c>
      <c r="P85" s="481" t="inlineStr">
        <is>
          <t>算数講座</t>
        </is>
      </c>
    </row>
    <row r="86" ht="20.25" customHeight="1" s="1428" thickBot="1" thickTop="1">
      <c r="B86" s="477" t="inlineStr">
        <is>
          <t>クラス</t>
        </is>
      </c>
      <c r="C86" s="521" t="inlineStr">
        <is>
          <t>担任</t>
        </is>
      </c>
      <c r="D86" s="477" t="inlineStr">
        <is>
          <t>国語</t>
        </is>
      </c>
      <c r="E86" s="480" t="inlineStr">
        <is>
          <t>算数</t>
        </is>
      </c>
      <c r="F86" s="480" t="inlineStr">
        <is>
          <t>社会</t>
        </is>
      </c>
      <c r="G86" s="520" t="inlineStr">
        <is>
          <t>理科</t>
        </is>
      </c>
      <c r="H86" s="481" t="inlineStr">
        <is>
          <t>算数講座</t>
        </is>
      </c>
      <c r="I86" s="487" t="n">
        <v>16</v>
      </c>
      <c r="J86" s="497" t="inlineStr">
        <is>
          <t>6通B</t>
        </is>
      </c>
      <c r="K86" s="522" t="inlineStr">
        <is>
          <t>平野</t>
        </is>
      </c>
      <c r="L86" s="523" t="inlineStr">
        <is>
          <t>日高7</t>
        </is>
      </c>
      <c r="M86" s="524" t="inlineStr">
        <is>
          <t>●堀9</t>
        </is>
      </c>
      <c r="N86" s="525" t="inlineStr">
        <is>
          <t>長本8</t>
        </is>
      </c>
      <c r="O86" s="525" t="inlineStr">
        <is>
          <t>平野8</t>
        </is>
      </c>
      <c r="P86" s="526" t="n"/>
    </row>
    <row r="87" ht="20.25" customHeight="1" s="1428" thickBot="1" thickTop="1">
      <c r="A87" s="358" t="n">
        <v>20</v>
      </c>
      <c r="B87" s="527" t="inlineStr">
        <is>
          <t>6受A</t>
        </is>
      </c>
      <c r="C87" s="528" t="inlineStr">
        <is>
          <t>馬渡</t>
        </is>
      </c>
      <c r="D87" s="529" t="inlineStr">
        <is>
          <t>馬渡17</t>
        </is>
      </c>
      <c r="E87" s="1390" t="inlineStr">
        <is>
          <t>黒岩23</t>
        </is>
      </c>
      <c r="F87" s="1390" t="inlineStr">
        <is>
          <t>藤田19</t>
        </is>
      </c>
      <c r="G87" s="1390" t="inlineStr">
        <is>
          <t>和久17</t>
        </is>
      </c>
      <c r="H87" s="530" t="n"/>
      <c r="I87" s="487" t="n">
        <v>37</v>
      </c>
      <c r="J87" s="531" t="inlineStr">
        <is>
          <t>4年</t>
        </is>
      </c>
      <c r="K87" s="532" t="inlineStr">
        <is>
          <t>伊地知</t>
        </is>
      </c>
      <c r="L87" s="533" t="inlineStr">
        <is>
          <t>日高7</t>
        </is>
      </c>
      <c r="M87" s="534" t="inlineStr">
        <is>
          <t>伊地知7</t>
        </is>
      </c>
      <c r="N87" s="535" t="inlineStr">
        <is>
          <t>●長本3</t>
        </is>
      </c>
      <c r="O87" s="502" t="inlineStr">
        <is>
          <t>●平野3</t>
        </is>
      </c>
      <c r="P87" s="536" t="inlineStr">
        <is>
          <t>堀6</t>
        </is>
      </c>
    </row>
    <row r="88" ht="20.25" customHeight="1" s="1428" thickBot="1" thickTop="1">
      <c r="A88" s="358" t="n">
        <v>23</v>
      </c>
      <c r="B88" s="537" t="inlineStr">
        <is>
          <t>6受B</t>
        </is>
      </c>
      <c r="C88" s="538" t="inlineStr">
        <is>
          <t>野口</t>
        </is>
      </c>
      <c r="D88" s="539" t="inlineStr">
        <is>
          <t>日高17</t>
        </is>
      </c>
      <c r="E88" s="539" t="inlineStr">
        <is>
          <t>伊地知21</t>
        </is>
      </c>
      <c r="F88" s="539" t="inlineStr">
        <is>
          <t>野口16</t>
        </is>
      </c>
      <c r="G88" s="540" t="inlineStr">
        <is>
          <t>和久16</t>
        </is>
      </c>
      <c r="H88" s="541" t="n"/>
      <c r="I88" s="542" t="n"/>
      <c r="J88" s="543" t="inlineStr">
        <is>
          <t>4外</t>
        </is>
      </c>
      <c r="K88" s="544" t="inlineStr">
        <is>
          <t>●平野</t>
        </is>
      </c>
      <c r="L88" s="545" t="inlineStr">
        <is>
          <t>●日高7</t>
        </is>
      </c>
      <c r="M88" s="546" t="inlineStr">
        <is>
          <t>●平野7</t>
        </is>
      </c>
      <c r="N88" s="547" t="inlineStr">
        <is>
          <t>●長本3</t>
        </is>
      </c>
      <c r="O88" s="547" t="inlineStr">
        <is>
          <t>●中村3</t>
        </is>
      </c>
      <c r="P88" s="541" t="n"/>
    </row>
    <row r="89" ht="20.25" customHeight="1" s="1428" thickBot="1">
      <c r="A89" s="358" t="n">
        <v>29</v>
      </c>
      <c r="B89" s="492" t="inlineStr">
        <is>
          <t>6通A</t>
        </is>
      </c>
      <c r="C89" s="493" t="inlineStr">
        <is>
          <t>野口</t>
        </is>
      </c>
      <c r="D89" s="548" t="inlineStr">
        <is>
          <t>●馬渡7</t>
        </is>
      </c>
      <c r="E89" s="549" t="inlineStr">
        <is>
          <t>堀9</t>
        </is>
      </c>
      <c r="F89" s="549" t="inlineStr">
        <is>
          <t>野口8</t>
        </is>
      </c>
      <c r="G89" s="549" t="inlineStr">
        <is>
          <t>和久8</t>
        </is>
      </c>
      <c r="H89" s="550" t="n"/>
      <c r="I89" s="487" t="n"/>
      <c r="J89" s="551" t="n"/>
      <c r="K89" s="1354" t="inlineStr">
        <is>
          <t>↑平野…担任３</t>
        </is>
      </c>
      <c r="L89" s="1471" t="n"/>
      <c r="M89" s="552" t="n"/>
      <c r="N89" s="553" t="n"/>
      <c r="O89" s="553" t="n"/>
      <c r="P89" s="387" t="n"/>
    </row>
    <row r="90" ht="20.25" customHeight="1" s="1428">
      <c r="A90" s="358" t="n">
        <v>39</v>
      </c>
      <c r="B90" s="488" t="inlineStr">
        <is>
          <t>5HA</t>
        </is>
      </c>
      <c r="C90" s="489" t="inlineStr">
        <is>
          <t>馬渡</t>
        </is>
      </c>
      <c r="D90" s="554" t="inlineStr">
        <is>
          <t>馬渡7</t>
        </is>
      </c>
      <c r="E90" s="1369" t="inlineStr">
        <is>
          <t>黒岩7</t>
        </is>
      </c>
      <c r="F90" s="1369" t="inlineStr">
        <is>
          <t>野口7</t>
        </is>
      </c>
      <c r="G90" s="1369" t="inlineStr">
        <is>
          <t>平野7</t>
        </is>
      </c>
      <c r="H90" s="555" t="inlineStr">
        <is>
          <t>伊知地7</t>
        </is>
      </c>
      <c r="I90" s="487" t="n"/>
      <c r="J90" s="394" t="n"/>
      <c r="K90" s="556" t="n"/>
      <c r="L90" s="394" t="n"/>
      <c r="M90" s="394" t="n"/>
      <c r="N90" s="394" t="n"/>
      <c r="O90" s="387" t="n"/>
      <c r="P90" s="387" t="n"/>
    </row>
    <row r="91" ht="20.25" customHeight="1" s="1428">
      <c r="A91" s="358" t="n">
        <v>23</v>
      </c>
      <c r="B91" s="557" t="inlineStr">
        <is>
          <t>5HB・外</t>
        </is>
      </c>
      <c r="C91" s="558" t="inlineStr">
        <is>
          <t>長本</t>
        </is>
      </c>
      <c r="D91" s="559" t="inlineStr">
        <is>
          <t>長本7</t>
        </is>
      </c>
      <c r="E91" s="560" t="inlineStr">
        <is>
          <t>●黒岩7</t>
        </is>
      </c>
      <c r="F91" s="446" t="inlineStr">
        <is>
          <t>野口7</t>
        </is>
      </c>
      <c r="G91" s="560" t="inlineStr">
        <is>
          <t>●平野7</t>
        </is>
      </c>
      <c r="H91" s="561" t="n"/>
      <c r="I91" s="487" t="n"/>
      <c r="J91" s="394" t="n"/>
      <c r="K91" s="394" t="n"/>
      <c r="L91" s="387" t="n"/>
      <c r="M91" s="387" t="n"/>
      <c r="N91" s="387" t="n"/>
      <c r="O91" s="387" t="n"/>
      <c r="P91" s="387" t="n"/>
    </row>
    <row r="92" ht="20.25" customHeight="1" s="1428" thickBot="1">
      <c r="B92" s="510" t="inlineStr">
        <is>
          <t>-</t>
        </is>
      </c>
      <c r="C92" s="511" t="inlineStr">
        <is>
          <t>-</t>
        </is>
      </c>
      <c r="D92" s="562" t="inlineStr">
        <is>
          <t>-</t>
        </is>
      </c>
      <c r="E92" s="514" t="inlineStr">
        <is>
          <t>-</t>
        </is>
      </c>
      <c r="F92" s="563" t="inlineStr">
        <is>
          <t>-</t>
        </is>
      </c>
      <c r="G92" s="563" t="inlineStr">
        <is>
          <t>-</t>
        </is>
      </c>
      <c r="H92" s="564" t="n"/>
      <c r="I92" s="487" t="n"/>
      <c r="J92" s="565" t="n"/>
      <c r="K92" s="454" t="n"/>
      <c r="L92" s="387" t="n"/>
      <c r="M92" s="448" t="n"/>
      <c r="N92" s="387" t="n"/>
      <c r="O92" s="387" t="n"/>
      <c r="P92" s="387" t="n"/>
    </row>
    <row r="93" ht="20.25" customHeight="1" s="1428" thickBot="1" thickTop="1">
      <c r="B93" s="1535" t="inlineStr">
        <is>
          <t>5年特別講座</t>
        </is>
      </c>
      <c r="C93" s="1470" t="n"/>
      <c r="D93" s="566" t="inlineStr">
        <is>
          <t>社会</t>
        </is>
      </c>
      <c r="E93" s="567" t="inlineStr">
        <is>
          <t>●野口6</t>
        </is>
      </c>
      <c r="F93" s="566" t="inlineStr">
        <is>
          <t>理科</t>
        </is>
      </c>
      <c r="G93" s="568" t="inlineStr">
        <is>
          <t>●平野6</t>
        </is>
      </c>
      <c r="H93" s="569" t="n"/>
      <c r="I93" s="487" t="n"/>
      <c r="J93" s="454" t="n"/>
      <c r="K93" s="454" t="n"/>
      <c r="L93" s="387" t="n"/>
      <c r="M93" s="387" t="n"/>
      <c r="N93" s="387" t="n"/>
      <c r="O93" s="387" t="n"/>
      <c r="P93" s="387" t="n"/>
    </row>
    <row r="94" ht="20.25" customHeight="1" s="1428" thickBot="1">
      <c r="I94" s="487" t="n"/>
      <c r="J94" s="454" t="n"/>
      <c r="K94" s="454" t="n"/>
      <c r="L94" s="387" t="n"/>
      <c r="M94" s="387" t="n"/>
      <c r="N94" s="387" t="n"/>
      <c r="O94" s="387" t="n"/>
      <c r="P94" s="387" t="n"/>
    </row>
    <row r="95" ht="20.25" customHeight="1" s="1428" thickBot="1">
      <c r="B95" s="1536" t="inlineStr">
        <is>
          <t>高宮</t>
        </is>
      </c>
      <c r="C95" s="1467" t="n"/>
      <c r="D95" s="1467" t="n"/>
      <c r="E95" s="1467" t="n"/>
      <c r="F95" s="1467" t="n"/>
      <c r="G95" s="1467" t="n"/>
      <c r="H95" s="1473" t="n"/>
      <c r="I95" s="487" t="n"/>
      <c r="J95" s="1536" t="inlineStr">
        <is>
          <t>西新</t>
        </is>
      </c>
      <c r="K95" s="1467" t="n"/>
      <c r="L95" s="1467" t="n"/>
      <c r="M95" s="1467" t="n"/>
      <c r="N95" s="1467" t="n"/>
      <c r="O95" s="1467" t="n"/>
      <c r="P95" s="1473" t="n"/>
    </row>
    <row r="96" ht="20.25" customHeight="1" s="1428" thickBot="1" thickTop="1">
      <c r="B96" s="570" t="inlineStr">
        <is>
          <t>クラス</t>
        </is>
      </c>
      <c r="C96" s="571" t="inlineStr">
        <is>
          <t>担任</t>
        </is>
      </c>
      <c r="D96" s="572" t="inlineStr">
        <is>
          <t>国語</t>
        </is>
      </c>
      <c r="E96" s="573" t="inlineStr">
        <is>
          <t>数学</t>
        </is>
      </c>
      <c r="F96" s="573" t="inlineStr">
        <is>
          <t>社会</t>
        </is>
      </c>
      <c r="G96" s="573" t="inlineStr">
        <is>
          <t>理科</t>
        </is>
      </c>
      <c r="H96" s="574" t="inlineStr">
        <is>
          <t>英語</t>
        </is>
      </c>
      <c r="I96" s="487" t="n"/>
      <c r="J96" s="570" t="inlineStr">
        <is>
          <t>クラス</t>
        </is>
      </c>
      <c r="K96" s="571" t="inlineStr">
        <is>
          <t>担任</t>
        </is>
      </c>
      <c r="L96" s="572" t="inlineStr">
        <is>
          <t>国語</t>
        </is>
      </c>
      <c r="M96" s="573" t="inlineStr">
        <is>
          <t>数学</t>
        </is>
      </c>
      <c r="N96" s="573" t="inlineStr">
        <is>
          <t>社会</t>
        </is>
      </c>
      <c r="O96" s="573" t="inlineStr">
        <is>
          <t>理科</t>
        </is>
      </c>
      <c r="P96" s="574" t="inlineStr">
        <is>
          <t>英語</t>
        </is>
      </c>
    </row>
    <row r="97" ht="20.25" customHeight="1" s="1428" thickTop="1">
      <c r="A97" s="358" t="n">
        <v>34</v>
      </c>
      <c r="B97" s="575" t="inlineStr">
        <is>
          <t>3A</t>
        </is>
      </c>
      <c r="C97" s="489" t="inlineStr">
        <is>
          <t>小野</t>
        </is>
      </c>
      <c r="D97" s="490" t="inlineStr">
        <is>
          <t>佐藤13</t>
        </is>
      </c>
      <c r="E97" s="1390" t="inlineStr">
        <is>
          <t>小野20</t>
        </is>
      </c>
      <c r="F97" s="383" t="inlineStr">
        <is>
          <t>★野口13</t>
        </is>
      </c>
      <c r="G97" s="1390" t="inlineStr">
        <is>
          <t>神田13</t>
        </is>
      </c>
      <c r="H97" s="491" t="inlineStr">
        <is>
          <t>土井下18</t>
        </is>
      </c>
      <c r="I97" s="487" t="n">
        <v>28</v>
      </c>
      <c r="J97" s="488" t="inlineStr">
        <is>
          <t>3A</t>
        </is>
      </c>
      <c r="K97" s="489" t="inlineStr">
        <is>
          <t>中嶋</t>
        </is>
      </c>
      <c r="L97" s="576" t="inlineStr">
        <is>
          <t>★日高13</t>
        </is>
      </c>
      <c r="M97" s="1390" t="inlineStr">
        <is>
          <t>高本20</t>
        </is>
      </c>
      <c r="N97" s="383" t="inlineStr">
        <is>
          <t>★藤田13</t>
        </is>
      </c>
      <c r="O97" s="1390" t="inlineStr">
        <is>
          <t>田代13</t>
        </is>
      </c>
      <c r="P97" s="491" t="inlineStr">
        <is>
          <t>中嶋＋館長18</t>
        </is>
      </c>
    </row>
    <row r="98" ht="20.25" customHeight="1" s="1428" thickBot="1">
      <c r="A98" s="358" t="n">
        <v>38</v>
      </c>
      <c r="B98" s="537" t="inlineStr">
        <is>
          <t>3B</t>
        </is>
      </c>
      <c r="C98" s="538" t="inlineStr">
        <is>
          <t>神田</t>
        </is>
      </c>
      <c r="D98" s="539" t="inlineStr">
        <is>
          <t>佐藤13</t>
        </is>
      </c>
      <c r="E98" s="577" t="inlineStr">
        <is>
          <t>平井18</t>
        </is>
      </c>
      <c r="F98" s="577" t="inlineStr">
        <is>
          <t>岡野13</t>
        </is>
      </c>
      <c r="G98" s="577" t="inlineStr">
        <is>
          <t>神田13</t>
        </is>
      </c>
      <c r="H98" s="578" t="inlineStr">
        <is>
          <t>土井下15</t>
        </is>
      </c>
      <c r="I98" s="487" t="n">
        <v>44</v>
      </c>
      <c r="J98" s="543" t="inlineStr">
        <is>
          <t>3B</t>
        </is>
      </c>
      <c r="K98" s="538" t="inlineStr">
        <is>
          <t>柿木</t>
        </is>
      </c>
      <c r="L98" s="539" t="inlineStr">
        <is>
          <t>副島13</t>
        </is>
      </c>
      <c r="M98" s="577" t="inlineStr">
        <is>
          <t>柿木18</t>
        </is>
      </c>
      <c r="N98" s="579" t="inlineStr">
        <is>
          <t>★右田13</t>
        </is>
      </c>
      <c r="O98" s="577" t="inlineStr">
        <is>
          <t>田代13</t>
        </is>
      </c>
      <c r="P98" s="578" t="inlineStr">
        <is>
          <t>中嶋15</t>
        </is>
      </c>
    </row>
    <row r="99" ht="20.25" customHeight="1" s="1428">
      <c r="A99" s="358" t="n">
        <v>20</v>
      </c>
      <c r="B99" s="505" t="inlineStr">
        <is>
          <t>2特</t>
        </is>
      </c>
      <c r="C99" s="499" t="inlineStr">
        <is>
          <t>平井</t>
        </is>
      </c>
      <c r="D99" s="500" t="inlineStr">
        <is>
          <t>佐藤8</t>
        </is>
      </c>
      <c r="E99" s="503" t="inlineStr">
        <is>
          <t>小野13</t>
        </is>
      </c>
      <c r="F99" s="503" t="inlineStr">
        <is>
          <t>岡野10</t>
        </is>
      </c>
      <c r="G99" s="503" t="inlineStr">
        <is>
          <t>平井11</t>
        </is>
      </c>
      <c r="H99" s="504" t="inlineStr">
        <is>
          <t>土井下16</t>
        </is>
      </c>
      <c r="I99" s="487" t="n">
        <v>35</v>
      </c>
      <c r="J99" s="505" t="inlineStr">
        <is>
          <t>2特</t>
        </is>
      </c>
      <c r="K99" s="499" t="inlineStr">
        <is>
          <t>副島</t>
        </is>
      </c>
      <c r="L99" s="500" t="inlineStr">
        <is>
          <t>副島8</t>
        </is>
      </c>
      <c r="M99" s="503" t="inlineStr">
        <is>
          <t>髙本13</t>
        </is>
      </c>
      <c r="N99" s="580" t="inlineStr">
        <is>
          <t>★長本10</t>
        </is>
      </c>
      <c r="O99" s="501" t="inlineStr">
        <is>
          <t>田代11</t>
        </is>
      </c>
      <c r="P99" s="581" t="inlineStr">
        <is>
          <t>中嶋16</t>
        </is>
      </c>
    </row>
    <row r="100" ht="20.25" customHeight="1" s="1428" thickBot="1">
      <c r="A100" s="358" t="n">
        <v>23</v>
      </c>
      <c r="B100" s="543" t="inlineStr">
        <is>
          <t>2A</t>
        </is>
      </c>
      <c r="C100" s="538" t="inlineStr">
        <is>
          <t>岡野</t>
        </is>
      </c>
      <c r="D100" s="582" t="inlineStr">
        <is>
          <t>右田8</t>
        </is>
      </c>
      <c r="E100" s="577" t="inlineStr">
        <is>
          <t>平井12</t>
        </is>
      </c>
      <c r="F100" s="583" t="inlineStr">
        <is>
          <t>岡野10</t>
        </is>
      </c>
      <c r="G100" s="577" t="inlineStr">
        <is>
          <t>神田9</t>
        </is>
      </c>
      <c r="H100" s="578" t="inlineStr">
        <is>
          <t>土井下12</t>
        </is>
      </c>
      <c r="I100" s="487" t="n">
        <v>37</v>
      </c>
      <c r="J100" s="543" t="inlineStr">
        <is>
          <t>2A</t>
        </is>
      </c>
      <c r="K100" s="538" t="inlineStr">
        <is>
          <t>柿木</t>
        </is>
      </c>
      <c r="L100" s="582" t="inlineStr">
        <is>
          <t>副島8</t>
        </is>
      </c>
      <c r="M100" s="577" t="inlineStr">
        <is>
          <t>柿木12</t>
        </is>
      </c>
      <c r="N100" s="584" t="inlineStr">
        <is>
          <t>藤本10</t>
        </is>
      </c>
      <c r="O100" s="585" t="inlineStr">
        <is>
          <t>★平井9</t>
        </is>
      </c>
      <c r="P100" s="586" t="inlineStr">
        <is>
          <t>★堀12</t>
        </is>
      </c>
    </row>
    <row r="101" ht="20.25" customHeight="1" s="1428">
      <c r="A101" s="358" t="n">
        <v>33</v>
      </c>
      <c r="B101" s="587" t="inlineStr">
        <is>
          <t>1A</t>
        </is>
      </c>
      <c r="C101" s="588" t="inlineStr">
        <is>
          <t>平井</t>
        </is>
      </c>
      <c r="D101" s="589" t="inlineStr">
        <is>
          <t>佐藤7</t>
        </is>
      </c>
      <c r="E101" s="503" t="inlineStr">
        <is>
          <t>小野13</t>
        </is>
      </c>
      <c r="F101" s="503" t="inlineStr">
        <is>
          <t>岡野7</t>
        </is>
      </c>
      <c r="G101" s="503" t="inlineStr">
        <is>
          <t>平井７</t>
        </is>
      </c>
      <c r="H101" s="504" t="inlineStr">
        <is>
          <t>土井下12</t>
        </is>
      </c>
      <c r="I101" s="487" t="n">
        <v>33</v>
      </c>
      <c r="J101" s="505" t="inlineStr">
        <is>
          <t>1A</t>
        </is>
      </c>
      <c r="K101" s="499" t="inlineStr">
        <is>
          <t>中嶋</t>
        </is>
      </c>
      <c r="L101" s="589" t="inlineStr">
        <is>
          <t>副島7</t>
        </is>
      </c>
      <c r="M101" s="503" t="inlineStr">
        <is>
          <t>柿木13</t>
        </is>
      </c>
      <c r="N101" s="580" t="inlineStr">
        <is>
          <t>★長本7</t>
        </is>
      </c>
      <c r="O101" s="590" t="inlineStr">
        <is>
          <t>●藤本7</t>
        </is>
      </c>
      <c r="P101" s="581" t="inlineStr">
        <is>
          <t>中嶋12</t>
        </is>
      </c>
    </row>
    <row r="102" ht="20.25" customHeight="1" s="1428" thickBot="1">
      <c r="A102" s="358" t="n">
        <v>23</v>
      </c>
      <c r="B102" s="591" t="inlineStr">
        <is>
          <t>1B</t>
        </is>
      </c>
      <c r="C102" s="592" t="inlineStr">
        <is>
          <t>土井下</t>
        </is>
      </c>
      <c r="D102" s="593" t="inlineStr">
        <is>
          <t>●佐藤7</t>
        </is>
      </c>
      <c r="E102" s="594" t="inlineStr">
        <is>
          <t>平井10</t>
        </is>
      </c>
      <c r="F102" s="594" t="inlineStr">
        <is>
          <t>岡野7</t>
        </is>
      </c>
      <c r="G102" s="594" t="inlineStr">
        <is>
          <t>神田7</t>
        </is>
      </c>
      <c r="H102" s="519" t="inlineStr">
        <is>
          <t>土井下10</t>
        </is>
      </c>
      <c r="I102" s="487" t="n">
        <v>30</v>
      </c>
      <c r="J102" s="510" t="inlineStr">
        <is>
          <t>1B</t>
        </is>
      </c>
      <c r="K102" s="595" t="inlineStr">
        <is>
          <t>髙本(藤本)</t>
        </is>
      </c>
      <c r="L102" s="517" t="inlineStr">
        <is>
          <t>副島7</t>
        </is>
      </c>
      <c r="M102" s="594" t="inlineStr">
        <is>
          <t>柿木10</t>
        </is>
      </c>
      <c r="N102" s="596" t="inlineStr">
        <is>
          <t>藤本7</t>
        </is>
      </c>
      <c r="O102" s="514" t="inlineStr">
        <is>
          <t>田代7</t>
        </is>
      </c>
      <c r="P102" s="515" t="inlineStr">
        <is>
          <t>中嶋10</t>
        </is>
      </c>
    </row>
    <row r="103" ht="20.25" customHeight="1" s="1428" thickBot="1" thickTop="1">
      <c r="B103" s="477" t="inlineStr">
        <is>
          <t>クラス</t>
        </is>
      </c>
      <c r="C103" s="478" t="inlineStr">
        <is>
          <t>担任</t>
        </is>
      </c>
      <c r="D103" s="479" t="inlineStr">
        <is>
          <t>国語</t>
        </is>
      </c>
      <c r="E103" s="480" t="inlineStr">
        <is>
          <t>算数</t>
        </is>
      </c>
      <c r="F103" s="480" t="inlineStr">
        <is>
          <t>社会</t>
        </is>
      </c>
      <c r="G103" s="520" t="inlineStr">
        <is>
          <t>理科</t>
        </is>
      </c>
      <c r="H103" s="481" t="inlineStr">
        <is>
          <t>算数講座</t>
        </is>
      </c>
      <c r="I103" s="487" t="n"/>
      <c r="J103" s="570" t="inlineStr">
        <is>
          <t>クラス</t>
        </is>
      </c>
      <c r="K103" s="571" t="inlineStr">
        <is>
          <t>担任</t>
        </is>
      </c>
      <c r="L103" s="572" t="inlineStr">
        <is>
          <t>国語</t>
        </is>
      </c>
      <c r="M103" s="573" t="inlineStr">
        <is>
          <t>算数</t>
        </is>
      </c>
      <c r="N103" s="573" t="inlineStr">
        <is>
          <t>社会</t>
        </is>
      </c>
      <c r="O103" s="597" t="inlineStr">
        <is>
          <t>理科</t>
        </is>
      </c>
      <c r="P103" s="574" t="inlineStr">
        <is>
          <t>算数講座</t>
        </is>
      </c>
    </row>
    <row r="104" ht="20.25" customHeight="1" s="1428" thickBot="1" thickTop="1">
      <c r="A104" s="358" t="n">
        <v>22</v>
      </c>
      <c r="B104" s="482" t="inlineStr">
        <is>
          <t>6受</t>
        </is>
      </c>
      <c r="C104" s="598" t="inlineStr">
        <is>
          <t>佐藤</t>
        </is>
      </c>
      <c r="D104" s="599" t="inlineStr">
        <is>
          <t>佐藤17</t>
        </is>
      </c>
      <c r="E104" s="485" t="inlineStr">
        <is>
          <t>小野21</t>
        </is>
      </c>
      <c r="F104" s="485" t="inlineStr">
        <is>
          <t>岡野16</t>
        </is>
      </c>
      <c r="G104" s="485" t="inlineStr">
        <is>
          <t>神田16</t>
        </is>
      </c>
      <c r="H104" s="600" t="n"/>
      <c r="I104" s="487" t="n">
        <v>24</v>
      </c>
      <c r="J104" s="482" t="inlineStr">
        <is>
          <t>6受</t>
        </is>
      </c>
      <c r="K104" s="483" t="inlineStr">
        <is>
          <t>髙本</t>
        </is>
      </c>
      <c r="L104" s="599" t="inlineStr">
        <is>
          <t>副島17</t>
        </is>
      </c>
      <c r="M104" s="485" t="inlineStr">
        <is>
          <t>髙本21</t>
        </is>
      </c>
      <c r="N104" s="485" t="inlineStr">
        <is>
          <t>中嶋16</t>
        </is>
      </c>
      <c r="O104" s="601" t="inlineStr">
        <is>
          <t>田代16</t>
        </is>
      </c>
      <c r="P104" s="569" t="n"/>
    </row>
    <row r="105" ht="20.25" customHeight="1" s="1428" thickBot="1">
      <c r="A105" s="358" t="n">
        <v>28</v>
      </c>
      <c r="B105" s="492" t="inlineStr">
        <is>
          <t>6通</t>
        </is>
      </c>
      <c r="C105" s="602" t="inlineStr">
        <is>
          <t>右田</t>
        </is>
      </c>
      <c r="D105" s="494" t="inlineStr">
        <is>
          <t>佐藤7</t>
        </is>
      </c>
      <c r="E105" s="603" t="inlineStr">
        <is>
          <t>●平井9</t>
        </is>
      </c>
      <c r="F105" s="549" t="inlineStr">
        <is>
          <t>右田8</t>
        </is>
      </c>
      <c r="G105" s="495" t="inlineStr">
        <is>
          <t>神田8</t>
        </is>
      </c>
      <c r="H105" s="550" t="n"/>
      <c r="I105" s="487" t="n">
        <v>29</v>
      </c>
      <c r="J105" s="604" t="inlineStr">
        <is>
          <t>6通</t>
        </is>
      </c>
      <c r="K105" s="605" t="inlineStr">
        <is>
          <t>髙本</t>
        </is>
      </c>
      <c r="L105" s="606" t="inlineStr">
        <is>
          <t>副島7</t>
        </is>
      </c>
      <c r="M105" s="495" t="inlineStr">
        <is>
          <t>髙本9</t>
        </is>
      </c>
      <c r="N105" s="607" t="inlineStr">
        <is>
          <t>藤本8</t>
        </is>
      </c>
      <c r="O105" s="549" t="inlineStr">
        <is>
          <t>田代8</t>
        </is>
      </c>
      <c r="P105" s="550" t="n"/>
    </row>
    <row r="106" ht="20.25" customHeight="1" s="1428" thickBot="1">
      <c r="A106" s="358" t="n">
        <v>45</v>
      </c>
      <c r="B106" s="482" t="inlineStr">
        <is>
          <t>5H</t>
        </is>
      </c>
      <c r="C106" s="598" t="inlineStr">
        <is>
          <t>佐藤</t>
        </is>
      </c>
      <c r="D106" s="484" t="inlineStr">
        <is>
          <t>佐藤7</t>
        </is>
      </c>
      <c r="E106" s="525" t="inlineStr">
        <is>
          <t>平井7</t>
        </is>
      </c>
      <c r="F106" s="524" t="inlineStr">
        <is>
          <t>●岡野7</t>
        </is>
      </c>
      <c r="G106" s="485" t="inlineStr">
        <is>
          <t>神田7</t>
        </is>
      </c>
      <c r="H106" s="486" t="inlineStr">
        <is>
          <t>小野7</t>
        </is>
      </c>
      <c r="I106" s="608" t="n">
        <v>53</v>
      </c>
      <c r="J106" s="497" t="inlineStr">
        <is>
          <t>5H</t>
        </is>
      </c>
      <c r="K106" s="483" t="inlineStr">
        <is>
          <t>副島</t>
        </is>
      </c>
      <c r="L106" s="606" t="inlineStr">
        <is>
          <t>副島7</t>
        </is>
      </c>
      <c r="M106" s="485" t="inlineStr">
        <is>
          <t>髙本７</t>
        </is>
      </c>
      <c r="N106" s="609" t="inlineStr">
        <is>
          <t>藤本7</t>
        </is>
      </c>
      <c r="O106" s="525" t="inlineStr">
        <is>
          <t>田代7</t>
        </is>
      </c>
      <c r="P106" s="610" t="inlineStr">
        <is>
          <t>髙本7</t>
        </is>
      </c>
    </row>
    <row r="107" ht="20.25" customHeight="1" s="1428" thickBot="1">
      <c r="A107" s="358" t="n">
        <v>8</v>
      </c>
      <c r="B107" s="611" t="inlineStr">
        <is>
          <t>4年</t>
        </is>
      </c>
      <c r="C107" s="612" t="inlineStr">
        <is>
          <t>小野</t>
        </is>
      </c>
      <c r="D107" s="613" t="inlineStr">
        <is>
          <t>右田7</t>
        </is>
      </c>
      <c r="E107" s="614" t="inlineStr">
        <is>
          <t>小野7</t>
        </is>
      </c>
      <c r="F107" s="615" t="inlineStr">
        <is>
          <t>●佐藤3</t>
        </is>
      </c>
      <c r="G107" s="616" t="inlineStr">
        <is>
          <t>●神田3</t>
        </is>
      </c>
      <c r="H107" s="617" t="inlineStr">
        <is>
          <t>神田6</t>
        </is>
      </c>
      <c r="I107" s="618" t="n"/>
      <c r="J107" s="619" t="inlineStr">
        <is>
          <t>5外</t>
        </is>
      </c>
      <c r="K107" s="620" t="inlineStr">
        <is>
          <t>●副島</t>
        </is>
      </c>
      <c r="L107" s="621" t="inlineStr">
        <is>
          <t>●副島7</t>
        </is>
      </c>
      <c r="M107" s="622" t="inlineStr">
        <is>
          <t>●柿木7</t>
        </is>
      </c>
      <c r="N107" s="623" t="inlineStr">
        <is>
          <t>★右田7</t>
        </is>
      </c>
      <c r="O107" s="624" t="inlineStr">
        <is>
          <t>●藤本7</t>
        </is>
      </c>
      <c r="P107" s="526" t="n"/>
    </row>
    <row r="108" ht="20.25" customHeight="1" s="1428" thickBot="1" thickTop="1">
      <c r="B108" s="1537" t="inlineStr">
        <is>
          <t>5年特別講座</t>
        </is>
      </c>
      <c r="C108" s="1470" t="n"/>
      <c r="D108" s="625" t="inlineStr">
        <is>
          <t>社会</t>
        </is>
      </c>
      <c r="E108" s="626" t="inlineStr">
        <is>
          <t>●岡野6</t>
        </is>
      </c>
      <c r="F108" s="627" t="inlineStr">
        <is>
          <t>理科</t>
        </is>
      </c>
      <c r="G108" s="628" t="inlineStr">
        <is>
          <t>●神田6</t>
        </is>
      </c>
      <c r="H108" s="569" t="n"/>
      <c r="I108" s="487" t="n">
        <v>23</v>
      </c>
      <c r="J108" s="629" t="inlineStr">
        <is>
          <t>4年</t>
        </is>
      </c>
      <c r="K108" s="630" t="inlineStr">
        <is>
          <t>髙本</t>
        </is>
      </c>
      <c r="L108" s="613" t="inlineStr">
        <is>
          <t>副島7</t>
        </is>
      </c>
      <c r="M108" s="631" t="inlineStr">
        <is>
          <t>髙本7</t>
        </is>
      </c>
      <c r="N108" s="632" t="inlineStr">
        <is>
          <t>★右田3</t>
        </is>
      </c>
      <c r="O108" s="615" t="inlineStr">
        <is>
          <t>●田代3</t>
        </is>
      </c>
      <c r="P108" s="536" t="inlineStr">
        <is>
          <t>柿木6</t>
        </is>
      </c>
    </row>
    <row r="109" ht="20.25" customHeight="1" s="1428" thickBot="1" thickTop="1">
      <c r="H109" s="358" t="n"/>
      <c r="I109" s="487" t="n"/>
      <c r="J109" s="1535" t="inlineStr">
        <is>
          <t>5年特別講座</t>
        </is>
      </c>
      <c r="K109" s="1470" t="n"/>
      <c r="L109" s="633" t="inlineStr">
        <is>
          <t>社会</t>
        </is>
      </c>
      <c r="M109" s="634" t="inlineStr">
        <is>
          <t>★右田6</t>
        </is>
      </c>
      <c r="N109" s="635" t="inlineStr">
        <is>
          <t>理科</t>
        </is>
      </c>
      <c r="O109" s="636" t="inlineStr">
        <is>
          <t>●田代6</t>
        </is>
      </c>
      <c r="P109" s="526" t="n"/>
    </row>
    <row r="110" ht="20.25" customHeight="1" s="1428">
      <c r="I110" s="487" t="n"/>
      <c r="J110" s="637" t="inlineStr">
        <is>
          <t>※西5H/5外は同じ時間帯で組む</t>
        </is>
      </c>
    </row>
    <row r="111" ht="20.25" customHeight="1" s="1428">
      <c r="B111" s="1343" t="inlineStr">
        <is>
          <t>４．各教科担当者の授業回数　（★飛びがある教員、90コマの場合…1日平均4.3コマ)</t>
        </is>
      </c>
    </row>
    <row r="112" ht="20.25" customFormat="1" customHeight="1" s="1350">
      <c r="B112" s="638" t="n"/>
    </row>
    <row r="113" ht="20.25" customHeight="1" s="1428">
      <c r="B113" s="1344" t="inlineStr">
        <is>
          <t>国語</t>
        </is>
      </c>
      <c r="C113" s="1475" t="n"/>
      <c r="D113" s="1465" t="n"/>
      <c r="E113" s="1346" t="inlineStr">
        <is>
          <t>算数・数学</t>
        </is>
      </c>
      <c r="F113" s="1475" t="n"/>
      <c r="G113" s="1465" t="n"/>
      <c r="H113" s="1348" t="inlineStr">
        <is>
          <t>社会</t>
        </is>
      </c>
      <c r="I113" s="1475" t="n"/>
      <c r="J113" s="1465" t="n"/>
      <c r="K113" s="1346" t="inlineStr">
        <is>
          <t>理科</t>
        </is>
      </c>
      <c r="L113" s="1475" t="n"/>
      <c r="M113" s="1465" t="n"/>
      <c r="N113" s="1348" t="inlineStr">
        <is>
          <t>英語</t>
        </is>
      </c>
      <c r="O113" s="1475" t="n"/>
      <c r="P113" s="1465" t="n"/>
    </row>
    <row r="114" ht="20.25" customHeight="1" s="1428">
      <c r="B114" s="1344" t="inlineStr">
        <is>
          <t>教員名</t>
        </is>
      </c>
      <c r="C114" s="1344" t="inlineStr">
        <is>
          <t>計</t>
        </is>
      </c>
      <c r="D114" s="1345" t="inlineStr">
        <is>
          <t>他教科</t>
        </is>
      </c>
      <c r="E114" s="1346" t="inlineStr">
        <is>
          <t>教員名</t>
        </is>
      </c>
      <c r="F114" s="1344" t="inlineStr">
        <is>
          <t>計</t>
        </is>
      </c>
      <c r="G114" s="1347" t="inlineStr">
        <is>
          <t>他教科</t>
        </is>
      </c>
      <c r="H114" s="1348" t="inlineStr">
        <is>
          <t>教員名</t>
        </is>
      </c>
      <c r="I114" s="1344" t="inlineStr">
        <is>
          <t>計</t>
        </is>
      </c>
      <c r="J114" s="1345" t="inlineStr">
        <is>
          <t>他教科</t>
        </is>
      </c>
      <c r="K114" s="1346" t="inlineStr">
        <is>
          <t>教員名</t>
        </is>
      </c>
      <c r="L114" s="1344" t="inlineStr">
        <is>
          <t>計</t>
        </is>
      </c>
      <c r="M114" s="1347" t="inlineStr">
        <is>
          <t>他教科</t>
        </is>
      </c>
      <c r="N114" s="1348" t="inlineStr">
        <is>
          <t>教員名</t>
        </is>
      </c>
      <c r="O114" s="1344" t="inlineStr">
        <is>
          <t>計</t>
        </is>
      </c>
      <c r="P114" s="1344" t="inlineStr">
        <is>
          <t>他教科</t>
        </is>
      </c>
    </row>
    <row r="115" ht="20.25" customHeight="1" s="1428">
      <c r="B115" s="446" t="inlineStr">
        <is>
          <t>馬渡</t>
        </is>
      </c>
      <c r="C115" s="446" t="n">
        <v>82</v>
      </c>
      <c r="D115" s="642" t="n"/>
      <c r="E115" s="643" t="inlineStr">
        <is>
          <t>高本</t>
        </is>
      </c>
      <c r="F115" s="446" t="n">
        <v>84</v>
      </c>
      <c r="G115" s="642" t="n"/>
      <c r="H115" s="643" t="inlineStr">
        <is>
          <t>★藤田</t>
        </is>
      </c>
      <c r="I115" s="446" t="n">
        <v>58</v>
      </c>
      <c r="J115" s="644" t="n"/>
      <c r="K115" s="559" t="inlineStr">
        <is>
          <t>神田</t>
        </is>
      </c>
      <c r="L115" s="446" t="n">
        <v>82</v>
      </c>
      <c r="M115" s="642" t="inlineStr">
        <is>
          <t>数6</t>
        </is>
      </c>
      <c r="N115" s="643" t="inlineStr">
        <is>
          <t>館長</t>
        </is>
      </c>
      <c r="O115" s="446" t="n">
        <v>20</v>
      </c>
      <c r="P115" s="446" t="n"/>
    </row>
    <row r="116" ht="20.25" customHeight="1" s="1428">
      <c r="B116" s="369" t="inlineStr">
        <is>
          <t>★日高</t>
        </is>
      </c>
      <c r="C116" s="369" t="n">
        <v>85</v>
      </c>
      <c r="D116" s="558" t="n"/>
      <c r="E116" s="643" t="inlineStr">
        <is>
          <t>小野</t>
        </is>
      </c>
      <c r="F116" s="446" t="n">
        <v>81</v>
      </c>
      <c r="G116" s="642" t="n"/>
      <c r="H116" s="643" t="inlineStr">
        <is>
          <t>★野口</t>
        </is>
      </c>
      <c r="I116" s="446" t="n">
        <v>83</v>
      </c>
      <c r="J116" s="644" t="n"/>
      <c r="K116" s="559" t="inlineStr">
        <is>
          <t>田代</t>
        </is>
      </c>
      <c r="L116" s="446" t="n">
        <v>84</v>
      </c>
      <c r="M116" s="645" t="n"/>
      <c r="N116" s="643" t="inlineStr">
        <is>
          <t>中村</t>
        </is>
      </c>
      <c r="O116" s="446" t="n">
        <v>83</v>
      </c>
      <c r="P116" s="446" t="inlineStr">
        <is>
          <t>理3</t>
        </is>
      </c>
    </row>
    <row r="117" ht="20.25" customHeight="1" s="1428">
      <c r="B117" s="446" t="inlineStr">
        <is>
          <t>副島</t>
        </is>
      </c>
      <c r="C117" s="446" t="n">
        <v>88</v>
      </c>
      <c r="D117" s="642" t="n"/>
      <c r="E117" s="643" t="inlineStr">
        <is>
          <t>黒岩</t>
        </is>
      </c>
      <c r="F117" s="446" t="n">
        <v>85</v>
      </c>
      <c r="G117" s="642" t="n"/>
      <c r="H117" s="643" t="inlineStr">
        <is>
          <t>★長本</t>
        </is>
      </c>
      <c r="I117" s="446" t="n">
        <v>72</v>
      </c>
      <c r="J117" s="642" t="inlineStr">
        <is>
          <t>国7</t>
        </is>
      </c>
      <c r="K117" s="559" t="inlineStr">
        <is>
          <t>和久</t>
        </is>
      </c>
      <c r="L117" s="446" t="n">
        <v>89</v>
      </c>
      <c r="M117" s="645" t="n"/>
      <c r="N117" s="643" t="inlineStr">
        <is>
          <t>中嶋</t>
        </is>
      </c>
      <c r="O117" s="446" t="n">
        <v>71</v>
      </c>
      <c r="P117" s="446" t="inlineStr">
        <is>
          <t>社16</t>
        </is>
      </c>
    </row>
    <row r="118" ht="20.25" customHeight="1" s="1428">
      <c r="B118" s="446" t="inlineStr">
        <is>
          <t>佐藤</t>
        </is>
      </c>
      <c r="C118" s="446" t="n">
        <v>79</v>
      </c>
      <c r="D118" s="642" t="inlineStr">
        <is>
          <t>社3</t>
        </is>
      </c>
      <c r="E118" s="643" t="inlineStr">
        <is>
          <t>伊地知</t>
        </is>
      </c>
      <c r="F118" s="446" t="n">
        <v>83</v>
      </c>
      <c r="G118" s="642" t="n"/>
      <c r="H118" s="446" t="inlineStr">
        <is>
          <t>★右田</t>
        </is>
      </c>
      <c r="I118" s="446" t="n">
        <v>37</v>
      </c>
      <c r="J118" s="644" t="inlineStr">
        <is>
          <t>国15</t>
        </is>
      </c>
      <c r="K118" s="559" t="inlineStr">
        <is>
          <t>平野</t>
        </is>
      </c>
      <c r="L118" s="446" t="n">
        <v>75</v>
      </c>
      <c r="M118" s="642" t="inlineStr">
        <is>
          <t>数7</t>
        </is>
      </c>
      <c r="N118" s="643" t="inlineStr">
        <is>
          <t>★堀</t>
        </is>
      </c>
      <c r="O118" s="446" t="n">
        <v>49</v>
      </c>
      <c r="P118" s="446" t="inlineStr">
        <is>
          <t>数34</t>
        </is>
      </c>
    </row>
    <row r="119" ht="20.25" customHeight="1" s="1428">
      <c r="B119" s="369" t="inlineStr">
        <is>
          <t>★長本</t>
        </is>
      </c>
      <c r="C119" s="369" t="n">
        <v>7</v>
      </c>
      <c r="D119" s="558" t="inlineStr">
        <is>
          <t>社72</t>
        </is>
      </c>
      <c r="E119" s="643" t="inlineStr">
        <is>
          <t>★平井</t>
        </is>
      </c>
      <c r="F119" s="446" t="n">
        <v>56</v>
      </c>
      <c r="G119" s="642" t="inlineStr">
        <is>
          <t>理27</t>
        </is>
      </c>
      <c r="H119" s="643" t="inlineStr">
        <is>
          <t>岡野</t>
        </is>
      </c>
      <c r="I119" s="446" t="n">
        <v>76</v>
      </c>
      <c r="J119" s="642" t="n"/>
      <c r="K119" s="559" t="inlineStr">
        <is>
          <t>★平井</t>
        </is>
      </c>
      <c r="L119" s="446" t="n">
        <v>27</v>
      </c>
      <c r="M119" s="642" t="inlineStr">
        <is>
          <t>数56</t>
        </is>
      </c>
      <c r="N119" s="559" t="inlineStr">
        <is>
          <t>土井下</t>
        </is>
      </c>
      <c r="O119" s="446" t="n">
        <v>83</v>
      </c>
      <c r="P119" s="446" t="n"/>
    </row>
    <row r="120" ht="20.25" customHeight="1" s="1428">
      <c r="B120" s="446" t="inlineStr">
        <is>
          <t>★右田</t>
        </is>
      </c>
      <c r="C120" s="446" t="n">
        <v>15</v>
      </c>
      <c r="D120" s="642" t="inlineStr">
        <is>
          <t>社37</t>
        </is>
      </c>
      <c r="E120" s="646" t="inlineStr">
        <is>
          <t>★柿木</t>
        </is>
      </c>
      <c r="F120" s="446" t="n">
        <v>88</v>
      </c>
      <c r="G120" s="642" t="n"/>
      <c r="H120" s="559" t="inlineStr">
        <is>
          <t>中嶋</t>
        </is>
      </c>
      <c r="I120" s="446" t="n">
        <v>16</v>
      </c>
      <c r="J120" s="642" t="inlineStr">
        <is>
          <t>英71</t>
        </is>
      </c>
      <c r="K120" s="559" t="inlineStr">
        <is>
          <t>中村</t>
        </is>
      </c>
      <c r="L120" s="446" t="n">
        <v>3</v>
      </c>
      <c r="M120" s="642" t="inlineStr">
        <is>
          <t>英85</t>
        </is>
      </c>
      <c r="N120" s="643" t="n"/>
      <c r="O120" s="446" t="n"/>
      <c r="P120" s="446" t="n"/>
    </row>
    <row r="121" ht="20.25" customHeight="1" s="1428">
      <c r="B121" s="446" t="n"/>
      <c r="C121" s="446" t="n"/>
      <c r="D121" s="642" t="n"/>
      <c r="E121" s="643" t="inlineStr">
        <is>
          <t>★堀</t>
        </is>
      </c>
      <c r="F121" s="446" t="n">
        <v>34</v>
      </c>
      <c r="G121" s="642" t="inlineStr">
        <is>
          <t>英49</t>
        </is>
      </c>
      <c r="H121" s="559" t="inlineStr">
        <is>
          <t>佐藤</t>
        </is>
      </c>
      <c r="I121" s="446" t="n">
        <v>3</v>
      </c>
      <c r="J121" s="642" t="inlineStr">
        <is>
          <t>国79</t>
        </is>
      </c>
      <c r="K121" s="647" t="inlineStr">
        <is>
          <t>藤本</t>
        </is>
      </c>
      <c r="L121" s="648" t="n">
        <v>14</v>
      </c>
      <c r="M121" s="649" t="inlineStr">
        <is>
          <t>社32</t>
        </is>
      </c>
      <c r="N121" s="643" t="n"/>
      <c r="O121" s="446" t="n"/>
      <c r="P121" s="446" t="n"/>
    </row>
    <row r="122" ht="20.25" customHeight="1" s="1428">
      <c r="B122" s="369" t="n"/>
      <c r="C122" s="369" t="n"/>
      <c r="D122" s="558" t="n"/>
      <c r="E122" s="646" t="inlineStr">
        <is>
          <t>平野</t>
        </is>
      </c>
      <c r="F122" s="446" t="n">
        <v>7</v>
      </c>
      <c r="G122" s="642" t="inlineStr">
        <is>
          <t>理75</t>
        </is>
      </c>
      <c r="H122" s="647" t="inlineStr">
        <is>
          <t>藤本</t>
        </is>
      </c>
      <c r="I122" s="648" t="n">
        <v>32</v>
      </c>
      <c r="J122" s="649" t="inlineStr">
        <is>
          <t>理14</t>
        </is>
      </c>
      <c r="K122" s="559" t="n"/>
      <c r="L122" s="446" t="n"/>
      <c r="M122" s="642" t="n"/>
      <c r="N122" s="643" t="n"/>
      <c r="O122" s="446" t="n"/>
      <c r="P122" s="446" t="n"/>
    </row>
    <row r="123" ht="20.25" customHeight="1" s="1428">
      <c r="B123" s="369" t="inlineStr">
        <is>
          <t> </t>
        </is>
      </c>
      <c r="C123" s="369" t="inlineStr">
        <is>
          <t> </t>
        </is>
      </c>
      <c r="D123" s="558" t="inlineStr">
        <is>
          <t> </t>
        </is>
      </c>
      <c r="E123" s="646" t="inlineStr">
        <is>
          <t>神田</t>
        </is>
      </c>
      <c r="F123" s="446" t="n">
        <v>6</v>
      </c>
      <c r="G123" s="642" t="n">
        <v>82</v>
      </c>
      <c r="H123" s="647" t="n"/>
      <c r="I123" s="648" t="n"/>
      <c r="J123" s="642" t="n"/>
      <c r="K123" s="650" t="n"/>
      <c r="L123" s="369" t="n"/>
      <c r="M123" s="558" t="n"/>
      <c r="N123" s="646" t="n"/>
      <c r="O123" s="369" t="n"/>
      <c r="P123" s="369" t="n"/>
    </row>
    <row r="124" ht="20.25" customHeight="1" s="1428">
      <c r="B124" s="369" t="inlineStr">
        <is>
          <t> </t>
        </is>
      </c>
      <c r="C124" s="369" t="inlineStr">
        <is>
          <t> </t>
        </is>
      </c>
      <c r="D124" s="558" t="inlineStr">
        <is>
          <t> </t>
        </is>
      </c>
      <c r="E124" s="646" t="n"/>
      <c r="F124" s="446" t="n"/>
      <c r="G124" s="558" t="n"/>
      <c r="H124" s="446" t="n"/>
      <c r="I124" s="446" t="n"/>
      <c r="J124" s="644" t="n"/>
      <c r="K124" s="650" t="n"/>
      <c r="L124" s="369" t="n"/>
      <c r="M124" s="558" t="n"/>
      <c r="N124" s="646" t="n"/>
      <c r="O124" s="369" t="n"/>
      <c r="P124" s="369" t="n"/>
    </row>
    <row r="125" ht="20.25" customHeight="1" s="1428" thickBot="1">
      <c r="B125" s="594" t="n">
        <v>356</v>
      </c>
      <c r="C125" s="651">
        <f>SUM(C115:C122)</f>
        <v/>
      </c>
      <c r="D125" s="652" t="inlineStr">
        <is>
          <t>←館長除く</t>
        </is>
      </c>
      <c r="E125" s="653">
        <f>556-32</f>
        <v/>
      </c>
      <c r="F125" s="651">
        <f>SUM(F115:F123)</f>
        <v/>
      </c>
      <c r="G125" s="511" t="inlineStr">
        <is>
          <t> </t>
        </is>
      </c>
      <c r="H125" s="594">
        <f>383-6</f>
        <v/>
      </c>
      <c r="I125" s="651">
        <f>SUM(I115:I123)</f>
        <v/>
      </c>
      <c r="J125" s="654" t="n"/>
      <c r="K125" s="655">
        <f>385-11</f>
        <v/>
      </c>
      <c r="L125" s="651">
        <f>SUM(L115:L121)</f>
        <v/>
      </c>
      <c r="M125" s="511" t="n"/>
      <c r="N125" s="653">
        <f>302-14</f>
        <v/>
      </c>
      <c r="O125" s="651">
        <f>SUM(O116:O119)</f>
        <v/>
      </c>
      <c r="P125" s="656" t="inlineStr">
        <is>
          <t>←館長除く</t>
        </is>
      </c>
    </row>
    <row r="126" ht="14.25" customHeight="1" s="1428" thickTop="1"/>
  </sheetData>
  <mergeCells count="70">
    <mergeCell ref="B34:Q34"/>
    <mergeCell ref="J25:K31"/>
    <mergeCell ref="E43:E44"/>
    <mergeCell ref="F40:F41"/>
    <mergeCell ref="L25:M31"/>
    <mergeCell ref="J44:J45"/>
    <mergeCell ref="G43:G44"/>
    <mergeCell ref="H43:H44"/>
    <mergeCell ref="B111:P111"/>
    <mergeCell ref="J38:J39"/>
    <mergeCell ref="K89:L89"/>
    <mergeCell ref="P1:Q1"/>
    <mergeCell ref="B95:H95"/>
    <mergeCell ref="B93:C93"/>
    <mergeCell ref="B1:M1"/>
    <mergeCell ref="P25:R31"/>
    <mergeCell ref="H40:H41"/>
    <mergeCell ref="G5:G11"/>
    <mergeCell ref="J40:J41"/>
    <mergeCell ref="F55:G55"/>
    <mergeCell ref="D5:D11"/>
    <mergeCell ref="B79:H79"/>
    <mergeCell ref="L15:Q21"/>
    <mergeCell ref="B32:Q32"/>
    <mergeCell ref="C47:P47"/>
    <mergeCell ref="L42:L43"/>
    <mergeCell ref="C55:D55"/>
    <mergeCell ref="E113:G113"/>
    <mergeCell ref="J15:J20"/>
    <mergeCell ref="N42:N43"/>
    <mergeCell ref="K40:K41"/>
    <mergeCell ref="H5:H7"/>
    <mergeCell ref="C40:C41"/>
    <mergeCell ref="M40:M41"/>
    <mergeCell ref="N1:O1"/>
    <mergeCell ref="E40:E41"/>
    <mergeCell ref="O40:O41"/>
    <mergeCell ref="C48:Q48"/>
    <mergeCell ref="L55:M55"/>
    <mergeCell ref="C43:C44"/>
    <mergeCell ref="D43:D44"/>
    <mergeCell ref="F43:F44"/>
    <mergeCell ref="I55:J55"/>
    <mergeCell ref="L38:L39"/>
    <mergeCell ref="N38:N39"/>
    <mergeCell ref="K42:K43"/>
    <mergeCell ref="B47:B53"/>
    <mergeCell ref="M42:M43"/>
    <mergeCell ref="K38:K39"/>
    <mergeCell ref="B108:C108"/>
    <mergeCell ref="O42:O43"/>
    <mergeCell ref="B113:D113"/>
    <mergeCell ref="J109:K109"/>
    <mergeCell ref="N113:P113"/>
    <mergeCell ref="R15:R21"/>
    <mergeCell ref="C5:C11"/>
    <mergeCell ref="L40:L41"/>
    <mergeCell ref="E5:E11"/>
    <mergeCell ref="N40:N41"/>
    <mergeCell ref="K113:M113"/>
    <mergeCell ref="J79:P79"/>
    <mergeCell ref="M38:M39"/>
    <mergeCell ref="O38:O39"/>
    <mergeCell ref="J42:J43"/>
    <mergeCell ref="J33:Q33"/>
    <mergeCell ref="J95:P95"/>
    <mergeCell ref="H113:J113"/>
    <mergeCell ref="B78:Q78"/>
    <mergeCell ref="G40:G4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view="pageBreakPreview" zoomScale="130" zoomScaleNormal="85" zoomScaleSheetLayoutView="130" workbookViewId="0">
      <selection activeCell="E35" sqref="E35"/>
    </sheetView>
  </sheetViews>
  <sheetFormatPr baseColWidth="8" defaultColWidth="9" defaultRowHeight="13.5"/>
  <cols>
    <col width="7" customWidth="1" style="4" min="1" max="4"/>
    <col width="7" customWidth="1" style="15" min="5" max="5"/>
    <col width="7" customWidth="1" style="4" min="6" max="12"/>
    <col width="9" customWidth="1" style="4" min="13" max="16384"/>
  </cols>
  <sheetData>
    <row r="1" ht="20.25" customHeight="1" s="1428" thickBot="1">
      <c r="A1" s="1426" t="n"/>
      <c r="B1" s="1467" t="n"/>
      <c r="C1" s="1467" t="n"/>
      <c r="D1" s="1467" t="n"/>
      <c r="E1" s="1468" t="n"/>
      <c r="F1" s="1426" t="n"/>
      <c r="G1" s="1467" t="n"/>
      <c r="H1" s="1467" t="n"/>
      <c r="I1" s="1467" t="n"/>
      <c r="J1" s="1468" t="n"/>
      <c r="Q1" s="1119" t="n"/>
    </row>
    <row r="2" ht="20.25" customHeight="1" s="1428" thickBot="1" thickTop="1">
      <c r="A2" s="937" t="n"/>
      <c r="B2" s="938" t="n"/>
      <c r="C2" s="938" t="n"/>
      <c r="D2" s="938" t="n"/>
      <c r="E2" s="939" t="n"/>
      <c r="F2" s="937" t="n"/>
      <c r="G2" s="938" t="n"/>
      <c r="H2" s="938" t="n"/>
      <c r="I2" s="938" t="n"/>
      <c r="J2" s="939" t="n"/>
      <c r="Q2" s="10" t="n"/>
    </row>
    <row r="3" ht="20.25" customHeight="1" s="1428" thickBot="1" thickTop="1">
      <c r="A3" s="160" t="inlineStr">
        <is>
          <t>日高14</t>
        </is>
      </c>
      <c r="B3" s="1195" t="inlineStr">
        <is>
          <t>黒岩22</t>
        </is>
      </c>
      <c r="C3" s="1195" t="inlineStr">
        <is>
          <t>岡野13</t>
        </is>
      </c>
      <c r="D3" s="1195" t="inlineStr">
        <is>
          <t>和久16</t>
        </is>
      </c>
      <c r="E3" s="1199" t="inlineStr">
        <is>
          <t>土井下20</t>
        </is>
      </c>
      <c r="F3" s="1195" t="inlineStr">
        <is>
          <t>藤田16</t>
        </is>
      </c>
      <c r="G3" s="90" t="inlineStr">
        <is>
          <t>古賀7</t>
        </is>
      </c>
      <c r="I3" s="1195" t="inlineStr">
        <is>
          <t>田代9</t>
        </is>
      </c>
      <c r="J3" s="1199" t="n"/>
      <c r="N3" s="660" t="inlineStr">
        <is>
          <t>国</t>
        </is>
      </c>
      <c r="O3" s="4">
        <f>14+13+13+8+8+8+7+7+17+17+7+7+7+7+7+13+13+8+8+7+7+17+7+7+7+13+13+8+8+7+7+17+7+7+7</f>
        <v/>
      </c>
      <c r="Q3" s="1119" t="n"/>
    </row>
    <row r="4" ht="20.25" customHeight="1" s="1428" thickBot="1">
      <c r="A4" s="208" t="inlineStr">
        <is>
          <t>日高17</t>
        </is>
      </c>
      <c r="B4" s="158" t="inlineStr">
        <is>
          <t>黒岩13</t>
        </is>
      </c>
      <c r="C4" s="105" t="inlineStr">
        <is>
          <t>岡野13</t>
        </is>
      </c>
      <c r="D4" s="158" t="inlineStr">
        <is>
          <t>和久11</t>
        </is>
      </c>
      <c r="E4" s="166" t="inlineStr">
        <is>
          <t>土井下14</t>
        </is>
      </c>
      <c r="F4" s="1195" t="inlineStr">
        <is>
          <t>藤田19</t>
        </is>
      </c>
      <c r="G4" s="113" t="inlineStr">
        <is>
          <t>古賀21</t>
        </is>
      </c>
      <c r="I4" s="158" t="inlineStr">
        <is>
          <t>田代7</t>
        </is>
      </c>
      <c r="J4" s="940" t="n"/>
      <c r="N4" s="660" t="inlineStr">
        <is>
          <t>数</t>
        </is>
      </c>
      <c r="O4" s="4">
        <f>22+18+18+13+12+12+10+13+23+21+9+7+7+7+7+7+6+20+18+13+12+13+10+21+9+7+7+7+6+20+18+13+12+13+10+21+9+7+7+7+6</f>
        <v/>
      </c>
      <c r="Q4" s="1119" t="n"/>
    </row>
    <row r="5" ht="20.25" customHeight="1" s="1428" thickBot="1">
      <c r="A5" s="113" t="inlineStr">
        <is>
          <t>日高17</t>
        </is>
      </c>
      <c r="B5" s="158" t="inlineStr">
        <is>
          <t>黒岩13</t>
        </is>
      </c>
      <c r="C5" s="158" t="inlineStr">
        <is>
          <t>岡野10</t>
        </is>
      </c>
      <c r="D5" s="1195" t="inlineStr">
        <is>
          <t>和久17</t>
        </is>
      </c>
      <c r="E5" s="166" t="inlineStr">
        <is>
          <t>土井下12</t>
        </is>
      </c>
      <c r="G5" s="105" t="inlineStr">
        <is>
          <t>古賀9</t>
        </is>
      </c>
      <c r="I5" s="105" t="inlineStr">
        <is>
          <t>田代7</t>
        </is>
      </c>
      <c r="J5" s="157" t="n"/>
      <c r="N5" s="660" t="inlineStr">
        <is>
          <t>社</t>
        </is>
      </c>
      <c r="O5" s="4">
        <f>16+13+13+10+10+10+7+7+19+16+8+7+7+3+3+6+13+13+10+10+7+7+16+8+7+3+6+13+13+10+10+7+7+16+8+7+3+6</f>
        <v/>
      </c>
      <c r="Q5" s="10" t="n"/>
    </row>
    <row r="6" ht="20.25" customHeight="1" s="1428" thickBot="1">
      <c r="A6" s="164" t="inlineStr">
        <is>
          <t>日高7</t>
        </is>
      </c>
      <c r="B6" s="1195" t="inlineStr">
        <is>
          <t>黒岩23</t>
        </is>
      </c>
      <c r="C6" s="158" t="inlineStr">
        <is>
          <t>岡野7</t>
        </is>
      </c>
      <c r="E6" s="4" t="n"/>
      <c r="G6" s="1195" t="inlineStr">
        <is>
          <t>古賀7</t>
        </is>
      </c>
      <c r="I6" s="1195" t="inlineStr">
        <is>
          <t>●田代3</t>
        </is>
      </c>
      <c r="N6" s="660" t="inlineStr">
        <is>
          <t>理</t>
        </is>
      </c>
      <c r="O6" s="4">
        <f>16+13+13+11+9+9+7+7+17+16+8+7+7+3+3+6+13+13+11+9+7+7+16+8+7+3+6+13+13+11+9+7+7+16+8+7+3+6</f>
        <v/>
      </c>
      <c r="Q6" s="1119" t="n"/>
    </row>
    <row r="7" ht="20.25" customHeight="1" s="1428" thickBot="1">
      <c r="A7" s="160" t="inlineStr">
        <is>
          <t>日高7</t>
        </is>
      </c>
      <c r="C7" s="105" t="inlineStr">
        <is>
          <t>岡野7</t>
        </is>
      </c>
      <c r="E7" s="4" t="n"/>
      <c r="G7" s="101" t="inlineStr">
        <is>
          <t>古賀7</t>
        </is>
      </c>
      <c r="I7" s="1195" t="inlineStr">
        <is>
          <t>田代7</t>
        </is>
      </c>
      <c r="J7" s="216" t="n"/>
      <c r="N7" s="660" t="inlineStr">
        <is>
          <t>英</t>
        </is>
      </c>
      <c r="O7" s="4">
        <f>20+15+15+16+12+12+10+12+18+15+16+12+12+10+18+15+16+12+12+10</f>
        <v/>
      </c>
      <c r="Q7" s="1119" t="n"/>
    </row>
    <row r="8" ht="20.25" customHeight="1" s="1428" thickBot="1">
      <c r="A8" s="239" t="inlineStr">
        <is>
          <t>日高7</t>
        </is>
      </c>
      <c r="C8" s="105" t="inlineStr">
        <is>
          <t>●岡野6</t>
        </is>
      </c>
      <c r="D8" s="1199" t="inlineStr">
        <is>
          <t>倉光15</t>
        </is>
      </c>
      <c r="E8" s="216" t="n"/>
      <c r="G8" s="1195" t="inlineStr">
        <is>
          <t>古賀7</t>
        </is>
      </c>
      <c r="I8" s="1195" t="inlineStr">
        <is>
          <t>田代13</t>
        </is>
      </c>
      <c r="Q8" s="1119" t="n"/>
    </row>
    <row r="9" ht="20.25" customHeight="1" s="1428" thickBot="1">
      <c r="A9" s="160" t="inlineStr">
        <is>
          <t>日高7</t>
        </is>
      </c>
      <c r="C9" s="1195" t="inlineStr">
        <is>
          <t>岡野7</t>
        </is>
      </c>
      <c r="D9" s="157" t="inlineStr">
        <is>
          <t>倉光15</t>
        </is>
      </c>
      <c r="E9" s="4" t="n"/>
      <c r="F9" s="941" t="n"/>
      <c r="G9" s="1195" t="inlineStr">
        <is>
          <t>古賀18</t>
        </is>
      </c>
      <c r="H9" s="942" t="n"/>
      <c r="I9" s="114" t="inlineStr">
        <is>
          <t>田代16</t>
        </is>
      </c>
      <c r="J9" s="943" t="n"/>
      <c r="Q9" s="1119" t="n"/>
    </row>
    <row r="10" ht="20.25" customHeight="1" s="1428" thickBot="1">
      <c r="B10" s="105" t="inlineStr">
        <is>
          <t>平野10</t>
        </is>
      </c>
      <c r="C10" s="113" t="inlineStr">
        <is>
          <t>岡野16</t>
        </is>
      </c>
      <c r="D10" s="1199" t="inlineStr">
        <is>
          <t>倉光12</t>
        </is>
      </c>
      <c r="E10" s="4" t="n"/>
      <c r="G10" s="105" t="inlineStr">
        <is>
          <t>古賀18</t>
        </is>
      </c>
      <c r="I10" s="105" t="inlineStr">
        <is>
          <t>●田代6</t>
        </is>
      </c>
      <c r="Q10" s="1119" t="n"/>
    </row>
    <row r="11" ht="20.25" customHeight="1" s="1428" thickBot="1">
      <c r="A11" s="160" t="inlineStr">
        <is>
          <t>副島13</t>
        </is>
      </c>
      <c r="B11" s="1195" t="inlineStr">
        <is>
          <t>平野13</t>
        </is>
      </c>
      <c r="C11" s="1195" t="inlineStr">
        <is>
          <t>岡野13</t>
        </is>
      </c>
      <c r="D11" s="157" t="inlineStr">
        <is>
          <t>倉光10</t>
        </is>
      </c>
      <c r="E11" s="10" t="n"/>
      <c r="F11" s="1085" t="n"/>
      <c r="G11" s="10" t="n"/>
      <c r="H11" s="10" t="n"/>
      <c r="I11" s="10" t="n"/>
      <c r="J11" s="10" t="n"/>
      <c r="L11" s="101" t="inlineStr">
        <is>
          <t>右田7</t>
        </is>
      </c>
      <c r="Q11" s="10" t="n"/>
    </row>
    <row r="12" ht="20.25" customHeight="1" s="1428" thickBot="1">
      <c r="A12" s="164" t="inlineStr">
        <is>
          <t>副島13</t>
        </is>
      </c>
      <c r="B12" s="105" t="inlineStr">
        <is>
          <t>平野13</t>
        </is>
      </c>
      <c r="F12" s="10" t="n"/>
      <c r="G12" s="10" t="n"/>
      <c r="H12" s="10" t="n"/>
      <c r="I12" s="10" t="n"/>
      <c r="J12" s="10" t="n"/>
      <c r="L12" s="105" t="inlineStr">
        <is>
          <t>★右田8</t>
        </is>
      </c>
      <c r="Q12" s="1119" t="n"/>
    </row>
    <row r="13" ht="20.25" customHeight="1" s="1428">
      <c r="A13" s="217" t="inlineStr">
        <is>
          <t>副島8</t>
        </is>
      </c>
      <c r="B13" s="238" t="inlineStr">
        <is>
          <t>平野16</t>
        </is>
      </c>
      <c r="D13" s="158" t="inlineStr">
        <is>
          <t>長本10</t>
        </is>
      </c>
      <c r="E13" s="4" t="n"/>
      <c r="L13" s="161" t="inlineStr">
        <is>
          <t>右田7</t>
        </is>
      </c>
      <c r="Q13" s="10" t="n"/>
    </row>
    <row r="14" ht="20.25" customHeight="1" s="1428" thickBot="1">
      <c r="A14" s="208" t="inlineStr">
        <is>
          <t>副島8</t>
        </is>
      </c>
      <c r="B14" s="105" t="inlineStr">
        <is>
          <t>平野8</t>
        </is>
      </c>
      <c r="D14" s="101" t="inlineStr">
        <is>
          <t>長本10</t>
        </is>
      </c>
      <c r="E14" s="4" t="n"/>
      <c r="L14" s="84" t="inlineStr">
        <is>
          <t>右田7</t>
        </is>
      </c>
      <c r="Q14" s="1119" t="n"/>
    </row>
    <row r="15" ht="20.25" customHeight="1" s="1428" thickBot="1">
      <c r="A15" s="1195" t="inlineStr">
        <is>
          <t>●副島3</t>
        </is>
      </c>
      <c r="B15" s="1199" t="inlineStr">
        <is>
          <t>平野6</t>
        </is>
      </c>
      <c r="D15" s="100" t="inlineStr">
        <is>
          <t>長本13</t>
        </is>
      </c>
      <c r="E15" s="1195" t="inlineStr">
        <is>
          <t>小野18</t>
        </is>
      </c>
      <c r="F15" s="101" t="inlineStr">
        <is>
          <t>平井18</t>
        </is>
      </c>
      <c r="G15" s="1195" t="inlineStr">
        <is>
          <t>神田13</t>
        </is>
      </c>
      <c r="H15" s="1199" t="inlineStr">
        <is>
          <t>中村15</t>
        </is>
      </c>
      <c r="I15" s="160" t="inlineStr">
        <is>
          <t>佐藤13</t>
        </is>
      </c>
      <c r="J15" s="1195" t="inlineStr">
        <is>
          <t>●新人10</t>
        </is>
      </c>
      <c r="L15" s="1195" t="inlineStr">
        <is>
          <t>右田13</t>
        </is>
      </c>
      <c r="Q15" s="1119" t="n"/>
    </row>
    <row r="16" ht="20.25" customHeight="1" s="1428" thickBot="1">
      <c r="A16" s="217" t="inlineStr">
        <is>
          <t>副島7</t>
        </is>
      </c>
      <c r="B16" s="165" t="inlineStr">
        <is>
          <t>●平野6</t>
        </is>
      </c>
      <c r="D16" s="161" t="inlineStr">
        <is>
          <t>長本7</t>
        </is>
      </c>
      <c r="E16" s="158" t="inlineStr">
        <is>
          <t>小野13</t>
        </is>
      </c>
      <c r="F16" s="140" t="inlineStr">
        <is>
          <t>平井10</t>
        </is>
      </c>
      <c r="G16" s="101" t="inlineStr">
        <is>
          <t>神田13</t>
        </is>
      </c>
      <c r="H16" s="216" t="inlineStr">
        <is>
          <t>中村15</t>
        </is>
      </c>
      <c r="I16" s="101" t="inlineStr">
        <is>
          <t>佐藤13</t>
        </is>
      </c>
      <c r="J16" s="158" t="inlineStr">
        <is>
          <t>●新人10</t>
        </is>
      </c>
      <c r="L16" s="101" t="inlineStr">
        <is>
          <t>右田13</t>
        </is>
      </c>
      <c r="Q16" s="1119" t="n"/>
    </row>
    <row r="17" ht="20.25" customHeight="1" s="1428" thickBot="1">
      <c r="A17" s="164" t="inlineStr">
        <is>
          <t>副島7</t>
        </is>
      </c>
      <c r="B17" s="101" t="inlineStr">
        <is>
          <t>平野7</t>
        </is>
      </c>
      <c r="D17" s="84" t="inlineStr">
        <is>
          <t>長本7</t>
        </is>
      </c>
      <c r="E17" s="158" t="inlineStr">
        <is>
          <t>小野13</t>
        </is>
      </c>
      <c r="F17" s="105" t="inlineStr">
        <is>
          <t>平井9</t>
        </is>
      </c>
      <c r="G17" s="158" t="inlineStr">
        <is>
          <t>神田11</t>
        </is>
      </c>
      <c r="H17" s="166" t="inlineStr">
        <is>
          <t>中村14</t>
        </is>
      </c>
      <c r="I17" s="217" t="inlineStr">
        <is>
          <t>佐藤8</t>
        </is>
      </c>
      <c r="J17" s="158" t="inlineStr">
        <is>
          <t>●新人7</t>
        </is>
      </c>
      <c r="L17" s="108" t="inlineStr">
        <is>
          <t>●右田3</t>
        </is>
      </c>
      <c r="Q17" s="1119" t="n"/>
    </row>
    <row r="18" ht="20.25" customHeight="1" s="1428" thickBot="1">
      <c r="A18" s="158" t="inlineStr">
        <is>
          <t>★副島7</t>
        </is>
      </c>
      <c r="D18" s="142" t="inlineStr">
        <is>
          <t>長本7</t>
        </is>
      </c>
      <c r="E18" s="45" t="inlineStr">
        <is>
          <t>小野21</t>
        </is>
      </c>
      <c r="F18" s="105" t="inlineStr">
        <is>
          <t>平井7</t>
        </is>
      </c>
      <c r="G18" s="158" t="inlineStr">
        <is>
          <t>神田７</t>
        </is>
      </c>
      <c r="H18" s="166" t="inlineStr">
        <is>
          <t>中村12</t>
        </is>
      </c>
      <c r="I18" s="115" t="inlineStr">
        <is>
          <t>佐藤17</t>
        </is>
      </c>
      <c r="J18" s="140" t="inlineStr">
        <is>
          <t>●新人7</t>
        </is>
      </c>
      <c r="Q18" s="1119" t="n"/>
    </row>
    <row r="19" ht="20.25" customHeight="1" s="1428" thickBot="1" thickTop="1">
      <c r="A19" s="140" t="inlineStr">
        <is>
          <t>★副島7</t>
        </is>
      </c>
      <c r="D19" s="105" t="inlineStr">
        <is>
          <t>長本8</t>
        </is>
      </c>
      <c r="E19" s="215" t="inlineStr">
        <is>
          <t>小野6</t>
        </is>
      </c>
      <c r="F19" s="108" t="inlineStr">
        <is>
          <t>平井7</t>
        </is>
      </c>
      <c r="G19" s="140" t="inlineStr">
        <is>
          <t>神田7</t>
        </is>
      </c>
      <c r="H19" s="162" t="inlineStr">
        <is>
          <t>中村10</t>
        </is>
      </c>
      <c r="I19" s="164" t="inlineStr">
        <is>
          <t>佐藤7</t>
        </is>
      </c>
      <c r="J19" s="105" t="inlineStr">
        <is>
          <t>●新人8</t>
        </is>
      </c>
      <c r="Q19" s="1119" t="n"/>
    </row>
    <row r="20" ht="20.25" customHeight="1" s="1428" thickBot="1" thickTop="1">
      <c r="D20" s="105" t="inlineStr">
        <is>
          <t>長本7</t>
        </is>
      </c>
      <c r="E20" s="4" t="n"/>
      <c r="F20" s="157" t="inlineStr">
        <is>
          <t>平井7</t>
        </is>
      </c>
      <c r="G20" s="45" t="inlineStr">
        <is>
          <t>神田16</t>
        </is>
      </c>
      <c r="H20" s="108" t="inlineStr">
        <is>
          <t>●中村3</t>
        </is>
      </c>
      <c r="I20" s="164" t="inlineStr">
        <is>
          <t>佐藤7</t>
        </is>
      </c>
      <c r="J20" s="105" t="inlineStr">
        <is>
          <t>●新人7</t>
        </is>
      </c>
      <c r="Q20" s="1119" t="n"/>
    </row>
    <row r="21" ht="20.25" customHeight="1" s="1428" thickBot="1">
      <c r="E21" s="4" t="n"/>
      <c r="G21" s="105" t="inlineStr">
        <is>
          <t>神田8</t>
        </is>
      </c>
      <c r="H21" s="216" t="inlineStr">
        <is>
          <t>★中村12</t>
        </is>
      </c>
      <c r="I21" s="142" t="inlineStr">
        <is>
          <t>佐藤7</t>
        </is>
      </c>
    </row>
    <row r="22" ht="20.25" customHeight="1" s="1428" thickBot="1">
      <c r="E22" s="4" t="n"/>
      <c r="G22" s="105" t="inlineStr">
        <is>
          <t>神田7</t>
        </is>
      </c>
      <c r="I22" s="945" t="inlineStr">
        <is>
          <t>●佐藤6</t>
        </is>
      </c>
    </row>
    <row r="23" ht="20.25" customHeight="1" s="1428" thickBot="1">
      <c r="E23" s="4" t="n"/>
      <c r="G23" s="108" t="inlineStr">
        <is>
          <t>●神田3</t>
        </is>
      </c>
    </row>
    <row r="24" ht="20.25" customHeight="1" s="1428" thickBot="1" thickTop="1">
      <c r="E24" s="4" t="n"/>
      <c r="G24" s="942" t="inlineStr">
        <is>
          <t>●神田6</t>
        </is>
      </c>
    </row>
    <row r="25" ht="20.25" customHeight="1" s="1428" thickBot="1">
      <c r="A25" s="160" t="inlineStr">
        <is>
          <t>馬渡13</t>
        </is>
      </c>
      <c r="B25" s="1195" t="inlineStr">
        <is>
          <t>髙本18</t>
        </is>
      </c>
      <c r="C25" s="101" t="inlineStr">
        <is>
          <t>伊地知18</t>
        </is>
      </c>
      <c r="E25" s="4" t="n"/>
      <c r="G25" s="948" t="n"/>
    </row>
    <row r="26" ht="20.25" customHeight="1" s="1428" thickBot="1">
      <c r="A26" s="100" t="inlineStr">
        <is>
          <t>馬渡13</t>
        </is>
      </c>
      <c r="B26" s="158" t="inlineStr">
        <is>
          <t>髙本13</t>
        </is>
      </c>
      <c r="C26" s="101" t="inlineStr">
        <is>
          <t>伊地知12</t>
        </is>
      </c>
      <c r="D26" s="45" t="inlineStr">
        <is>
          <t>中嶋16</t>
        </is>
      </c>
      <c r="E26" s="4" t="n"/>
    </row>
    <row r="27" ht="20.25" customHeight="1" s="1428" thickBot="1">
      <c r="A27" s="217" t="inlineStr">
        <is>
          <t>馬渡8</t>
        </is>
      </c>
      <c r="B27" s="158" t="inlineStr">
        <is>
          <t>高本13</t>
        </is>
      </c>
      <c r="C27" s="140" t="inlineStr">
        <is>
          <t>伊地知10</t>
        </is>
      </c>
      <c r="D27" s="105" t="inlineStr">
        <is>
          <t>●中嶋6</t>
        </is>
      </c>
      <c r="E27" s="4" t="n"/>
    </row>
    <row r="28" ht="20.25" customHeight="1" s="1428" thickBot="1" thickTop="1">
      <c r="A28" s="100" t="inlineStr">
        <is>
          <t>馬渡8</t>
        </is>
      </c>
      <c r="B28" s="45" t="inlineStr">
        <is>
          <t>髙本21</t>
        </is>
      </c>
      <c r="C28" s="105" t="inlineStr">
        <is>
          <t>伊地知9</t>
        </is>
      </c>
      <c r="D28" s="1199" t="inlineStr">
        <is>
          <t>中嶋15</t>
        </is>
      </c>
      <c r="E28" s="4" t="n"/>
    </row>
    <row r="29" ht="20.25" customHeight="1" s="1428" thickBot="1">
      <c r="A29" s="115" t="inlineStr">
        <is>
          <t>馬渡17</t>
        </is>
      </c>
      <c r="B29" s="157" t="inlineStr">
        <is>
          <t>高本7</t>
        </is>
      </c>
      <c r="C29" s="105" t="inlineStr">
        <is>
          <t>伊地知７</t>
        </is>
      </c>
      <c r="D29" s="216" t="inlineStr">
        <is>
          <t>中嶋15</t>
        </is>
      </c>
      <c r="E29" s="216" t="n"/>
    </row>
    <row r="30" ht="20.25" customHeight="1" s="1428" thickBot="1">
      <c r="A30" s="164" t="inlineStr">
        <is>
          <t>馬渡7</t>
        </is>
      </c>
      <c r="C30" s="108" t="inlineStr">
        <is>
          <t>伊地知7</t>
        </is>
      </c>
      <c r="D30" s="166" t="inlineStr">
        <is>
          <t>中嶋14</t>
        </is>
      </c>
      <c r="E30" s="4" t="n"/>
    </row>
    <row r="31" ht="20.25" customHeight="1" s="1428" thickBot="1">
      <c r="A31" s="143" t="inlineStr">
        <is>
          <t>馬渡7</t>
        </is>
      </c>
      <c r="C31" s="215" t="inlineStr">
        <is>
          <t>伊地知6</t>
        </is>
      </c>
      <c r="D31" s="166" t="inlineStr">
        <is>
          <t>中嶋12</t>
        </is>
      </c>
      <c r="E31" s="4" t="n"/>
    </row>
    <row r="32" ht="20.25" customHeight="1" s="1428" thickBot="1">
      <c r="D32" s="162" t="inlineStr">
        <is>
          <t>中嶋10</t>
        </is>
      </c>
      <c r="E32" s="944" t="n"/>
      <c r="J32" s="940" t="n"/>
    </row>
    <row r="33" ht="20.25" customHeight="1" s="1428" thickBot="1" thickTop="1">
      <c r="A33" s="101" t="inlineStr">
        <is>
          <t>栗原13</t>
        </is>
      </c>
      <c r="D33" s="45" t="inlineStr">
        <is>
          <t>中嶋16</t>
        </is>
      </c>
      <c r="E33" s="943" t="n"/>
      <c r="J33" s="157" t="n"/>
    </row>
    <row r="34" ht="20.25" customHeight="1" s="1428" thickBot="1">
      <c r="A34" s="158" t="inlineStr">
        <is>
          <t>栗原11</t>
        </is>
      </c>
      <c r="B34" s="101" t="n"/>
      <c r="C34" s="101" t="n"/>
      <c r="D34" s="101" t="n"/>
      <c r="E34" s="4" t="n"/>
    </row>
    <row r="35" ht="20.25" customHeight="1" s="1428" thickBot="1">
      <c r="A35" s="101" t="inlineStr">
        <is>
          <t>栗原9</t>
        </is>
      </c>
      <c r="E35" s="4" t="n"/>
    </row>
    <row r="36" ht="20.25" customHeight="1" s="1428" thickBot="1">
      <c r="A36" s="158" t="inlineStr">
        <is>
          <t>栗原7</t>
        </is>
      </c>
      <c r="E36" s="943" t="n"/>
      <c r="F36" s="946" t="n"/>
      <c r="H36" s="947" t="n"/>
      <c r="J36" s="157" t="n"/>
    </row>
    <row r="37" ht="20.25" customHeight="1" s="1428" thickBot="1">
      <c r="A37" s="140" t="inlineStr">
        <is>
          <t>栗原7</t>
        </is>
      </c>
      <c r="E37" s="4" t="n"/>
    </row>
    <row r="38" ht="20.25" customHeight="1" s="1428" thickBot="1" thickTop="1">
      <c r="A38" s="105" t="inlineStr">
        <is>
          <t>栗原8</t>
        </is>
      </c>
      <c r="E38" s="4" t="n"/>
    </row>
    <row r="39" ht="20.25" customHeight="1" s="1428" thickBot="1">
      <c r="A39" s="105" t="inlineStr">
        <is>
          <t>栗原7</t>
        </is>
      </c>
      <c r="E39" s="4" t="n"/>
    </row>
    <row r="40" ht="20.25" customHeight="1" s="1428" thickBot="1">
      <c r="A40" s="108" t="inlineStr">
        <is>
          <t>●栗原3</t>
        </is>
      </c>
      <c r="E40" s="4" t="n"/>
    </row>
    <row r="41" ht="20.25" customHeight="1" s="1428" thickTop="1">
      <c r="A41" s="1195" t="inlineStr">
        <is>
          <t>栗原12</t>
        </is>
      </c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</sheetData>
  <mergeCells count="2">
    <mergeCell ref="F1:J1"/>
    <mergeCell ref="A1: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view="pageBreakPreview" zoomScaleNormal="85" zoomScaleSheetLayoutView="100" workbookViewId="0">
      <selection activeCell="H11" sqref="H11"/>
    </sheetView>
  </sheetViews>
  <sheetFormatPr baseColWidth="8" defaultColWidth="9" defaultRowHeight="13.5"/>
  <cols>
    <col width="7" customWidth="1" style="4" min="1" max="15"/>
    <col width="7" customWidth="1" style="15" min="16" max="17"/>
    <col width="7" customWidth="1" style="4" min="18" max="19"/>
    <col width="9" customWidth="1" style="4" min="20" max="16384"/>
  </cols>
  <sheetData>
    <row r="1" ht="20.25" customFormat="1" customHeight="1" s="1080" thickBot="1">
      <c r="A1" s="1080" t="n"/>
    </row>
    <row r="2" ht="20.25" customHeight="1" s="1428" thickBot="1">
      <c r="A2" s="1043" t="inlineStr">
        <is>
          <t>国語</t>
        </is>
      </c>
      <c r="B2" s="1043" t="inlineStr">
        <is>
          <t>数学</t>
        </is>
      </c>
      <c r="C2" s="1043" t="inlineStr">
        <is>
          <t>社会</t>
        </is>
      </c>
      <c r="D2" s="1043" t="inlineStr">
        <is>
          <t>理科</t>
        </is>
      </c>
      <c r="E2" s="1044" t="inlineStr">
        <is>
          <t>英語</t>
        </is>
      </c>
      <c r="F2" s="1046" t="n"/>
      <c r="H2" s="1043" t="n"/>
      <c r="I2" s="1046" t="n"/>
      <c r="K2" s="1043" t="n"/>
      <c r="L2" s="1046" t="n"/>
      <c r="N2" s="1043" t="n"/>
      <c r="O2" s="1046" t="n"/>
      <c r="Q2" s="1045" t="n"/>
      <c r="X2" s="10" t="n"/>
    </row>
    <row r="3" ht="20.25" customHeight="1" s="1428" thickTop="1">
      <c r="A3" s="45" t="inlineStr">
        <is>
          <t>副島8</t>
        </is>
      </c>
      <c r="B3" s="45" t="inlineStr">
        <is>
          <t>黒岩14</t>
        </is>
      </c>
      <c r="C3" s="45" t="inlineStr">
        <is>
          <t>藤田9</t>
        </is>
      </c>
      <c r="D3" s="45" t="inlineStr">
        <is>
          <t>和久9</t>
        </is>
      </c>
      <c r="E3" s="1029" t="inlineStr">
        <is>
          <t>土井下13</t>
        </is>
      </c>
      <c r="F3" s="1119" t="n"/>
      <c r="I3" s="1119" t="n"/>
      <c r="L3" s="1119" t="n"/>
      <c r="O3" s="1119" t="n"/>
      <c r="Q3" s="1030" t="n"/>
      <c r="S3" s="10" t="n"/>
      <c r="U3" s="660" t="n"/>
      <c r="X3" s="1119" t="n"/>
    </row>
    <row r="4" ht="20.25" customHeight="1" s="1428">
      <c r="A4" s="45" t="inlineStr">
        <is>
          <t>副島8</t>
        </is>
      </c>
      <c r="B4" s="45" t="inlineStr">
        <is>
          <t>古賀12</t>
        </is>
      </c>
      <c r="C4" s="45" t="inlineStr">
        <is>
          <t>岡野9</t>
        </is>
      </c>
      <c r="D4" s="45" t="inlineStr">
        <is>
          <t>平野9</t>
        </is>
      </c>
      <c r="E4" s="1029" t="inlineStr">
        <is>
          <t>倉光10</t>
        </is>
      </c>
      <c r="F4" s="1119" t="n"/>
      <c r="I4" s="1119" t="n"/>
      <c r="L4" s="1119" t="n"/>
      <c r="O4" s="1119" t="n"/>
      <c r="Q4" s="1030" t="n"/>
      <c r="S4" s="10" t="n"/>
      <c r="U4" s="660" t="n"/>
      <c r="X4" s="1119" t="n"/>
    </row>
    <row r="5" ht="20.25" customHeight="1" s="1428" thickBot="1">
      <c r="A5" s="45" t="inlineStr">
        <is>
          <t>副島5</t>
        </is>
      </c>
      <c r="B5" s="45" t="inlineStr">
        <is>
          <t>古賀12</t>
        </is>
      </c>
      <c r="C5" s="45" t="inlineStr">
        <is>
          <t>岡野9</t>
        </is>
      </c>
      <c r="D5" s="45" t="inlineStr">
        <is>
          <t>平野9</t>
        </is>
      </c>
      <c r="E5" s="1031" t="inlineStr">
        <is>
          <t>倉光10</t>
        </is>
      </c>
      <c r="F5" s="1119" t="n"/>
      <c r="I5" s="1119" t="n"/>
      <c r="L5" s="1119" t="n"/>
      <c r="O5" s="1119" t="n"/>
      <c r="Q5" s="1030" t="n"/>
      <c r="S5" s="10" t="n"/>
      <c r="U5" s="660" t="n"/>
      <c r="X5" s="10" t="n"/>
    </row>
    <row r="6" ht="20.25" customHeight="1" s="1428">
      <c r="A6" s="45" t="inlineStr">
        <is>
          <t>副島5</t>
        </is>
      </c>
      <c r="B6" s="45" t="inlineStr">
        <is>
          <t>黒岩7</t>
        </is>
      </c>
      <c r="C6" s="45" t="inlineStr">
        <is>
          <t>岡野5</t>
        </is>
      </c>
      <c r="D6" s="45" t="inlineStr">
        <is>
          <t>和久5</t>
        </is>
      </c>
      <c r="E6" s="1032" t="inlineStr">
        <is>
          <t>土井下7</t>
        </is>
      </c>
      <c r="F6" s="1119" t="n"/>
      <c r="I6" s="1119" t="n"/>
      <c r="L6" s="1119" t="n"/>
      <c r="O6" s="1119" t="n"/>
      <c r="Q6" s="1030" t="n"/>
      <c r="S6" s="10" t="n"/>
      <c r="U6" s="660" t="n"/>
      <c r="X6" s="1119" t="n"/>
    </row>
    <row r="7" ht="20.25" customHeight="1" s="1428">
      <c r="A7" s="45" t="inlineStr">
        <is>
          <t>副島4</t>
        </is>
      </c>
      <c r="B7" s="45" t="inlineStr">
        <is>
          <t>★栗原6</t>
        </is>
      </c>
      <c r="C7" s="45" t="inlineStr">
        <is>
          <t>山内5</t>
        </is>
      </c>
      <c r="D7" s="45" t="inlineStr">
        <is>
          <t>平井5</t>
        </is>
      </c>
      <c r="E7" s="1029" t="inlineStr">
        <is>
          <t>倉光6</t>
        </is>
      </c>
      <c r="F7" s="1119" t="n"/>
      <c r="I7" s="1119" t="n"/>
      <c r="L7" s="1119" t="n"/>
      <c r="O7" s="1119" t="n"/>
      <c r="Q7" s="1030" t="n"/>
      <c r="S7" s="10" t="n"/>
      <c r="U7" s="660" t="n"/>
      <c r="X7" s="1119" t="n"/>
    </row>
    <row r="8" ht="20.25" customHeight="1" s="1428" thickBot="1">
      <c r="A8" s="45" t="inlineStr">
        <is>
          <t>副島4</t>
        </is>
      </c>
      <c r="B8" s="45" t="inlineStr">
        <is>
          <t>倉光6</t>
        </is>
      </c>
      <c r="C8" s="45" t="inlineStr">
        <is>
          <t>山内5</t>
        </is>
      </c>
      <c r="D8" s="45" t="inlineStr">
        <is>
          <t>田代5</t>
        </is>
      </c>
      <c r="E8" s="1033" t="inlineStr">
        <is>
          <t>土井下6</t>
        </is>
      </c>
      <c r="F8" s="1119" t="n"/>
      <c r="I8" s="1119" t="n"/>
      <c r="L8" s="1119" t="n"/>
      <c r="O8" s="1119" t="n"/>
      <c r="Q8" s="286" t="n"/>
      <c r="X8" s="1119" t="n"/>
    </row>
    <row r="9" ht="20.25" customHeight="1" s="1428">
      <c r="B9" s="45" t="inlineStr">
        <is>
          <t>黒岩6</t>
        </is>
      </c>
      <c r="C9" s="45" t="inlineStr">
        <is>
          <t>岡野4</t>
        </is>
      </c>
      <c r="D9" s="45" t="inlineStr">
        <is>
          <t>田代4</t>
        </is>
      </c>
      <c r="E9" s="1032" t="inlineStr">
        <is>
          <t>土井下8</t>
        </is>
      </c>
      <c r="F9" s="1119" t="n"/>
      <c r="I9" s="1119" t="n"/>
      <c r="L9" s="1119" t="n"/>
      <c r="O9" s="1119" t="n"/>
      <c r="Q9" s="286" t="n"/>
      <c r="X9" s="1119" t="n"/>
    </row>
    <row r="10" ht="20.25" customHeight="1" s="1428" thickBot="1">
      <c r="B10" s="45" t="inlineStr">
        <is>
          <t>平野5</t>
        </is>
      </c>
      <c r="C10" s="45" t="inlineStr">
        <is>
          <t>岡野4</t>
        </is>
      </c>
      <c r="D10" s="45" t="inlineStr">
        <is>
          <t>栗原4</t>
        </is>
      </c>
      <c r="E10" s="1031" t="inlineStr">
        <is>
          <t>倉光5</t>
        </is>
      </c>
      <c r="F10" s="1119" t="n"/>
      <c r="I10" s="1119" t="n"/>
      <c r="L10" s="1119" t="n"/>
      <c r="O10" s="1119" t="n"/>
      <c r="Q10" s="286" t="n"/>
      <c r="X10" s="1119" t="n"/>
    </row>
    <row r="11" ht="20.25" customHeight="1" s="1428">
      <c r="A11" s="45" t="inlineStr">
        <is>
          <t>佐藤8</t>
        </is>
      </c>
      <c r="B11" s="45" t="inlineStr">
        <is>
          <t>小野12</t>
        </is>
      </c>
      <c r="C11" s="45" t="inlineStr">
        <is>
          <t>★岡野9</t>
        </is>
      </c>
      <c r="D11" s="45" t="inlineStr">
        <is>
          <t>神田9</t>
        </is>
      </c>
      <c r="E11" s="1029" t="inlineStr">
        <is>
          <t>中村10</t>
        </is>
      </c>
      <c r="F11" s="1119" t="n"/>
      <c r="I11" s="1119" t="n"/>
      <c r="L11" s="1119" t="n"/>
      <c r="O11" s="1119" t="n"/>
      <c r="X11" s="1119" t="n"/>
    </row>
    <row r="12" ht="20.25" customHeight="1" s="1428" thickBot="1">
      <c r="A12" s="45" t="inlineStr">
        <is>
          <t>長本8</t>
        </is>
      </c>
      <c r="B12" s="45" t="inlineStr">
        <is>
          <t>平井12</t>
        </is>
      </c>
      <c r="C12" s="45" t="inlineStr">
        <is>
          <t>佐藤9</t>
        </is>
      </c>
      <c r="D12" s="45" t="inlineStr">
        <is>
          <t>神田9</t>
        </is>
      </c>
      <c r="E12" s="1033" t="inlineStr">
        <is>
          <t>中村10</t>
        </is>
      </c>
      <c r="F12" s="1119" t="n"/>
      <c r="I12" s="1119" t="n"/>
      <c r="L12" s="1119" t="n"/>
      <c r="O12" s="1119" t="n"/>
      <c r="X12" s="1119" t="n"/>
    </row>
    <row r="13" ht="20.25" customHeight="1" s="1428">
      <c r="A13" s="45" t="inlineStr">
        <is>
          <t>佐藤5</t>
        </is>
      </c>
      <c r="B13" s="45" t="inlineStr">
        <is>
          <t>小野6</t>
        </is>
      </c>
      <c r="C13" s="45" t="inlineStr">
        <is>
          <t>山内5</t>
        </is>
      </c>
      <c r="D13" s="45" t="inlineStr">
        <is>
          <t>神田5</t>
        </is>
      </c>
      <c r="E13" s="1032" t="inlineStr">
        <is>
          <t>中村6</t>
        </is>
      </c>
      <c r="F13" s="1119" t="n"/>
      <c r="I13" s="1119" t="n"/>
      <c r="L13" s="1119" t="n"/>
      <c r="O13" s="1119" t="n"/>
      <c r="X13" s="1119" t="n"/>
    </row>
    <row r="14" ht="20.25" customHeight="1" s="1428" thickBot="1">
      <c r="A14" s="45" t="n"/>
      <c r="B14" s="45" t="n"/>
      <c r="C14" s="45" t="n"/>
      <c r="D14" s="45" t="n"/>
      <c r="E14" s="1033" t="n"/>
      <c r="F14" s="1119" t="n"/>
      <c r="I14" s="1119" t="n"/>
      <c r="L14" s="1119" t="n"/>
      <c r="O14" s="1119" t="n"/>
      <c r="X14" s="1119" t="n"/>
    </row>
    <row r="15" ht="20.25" customHeight="1" s="1428">
      <c r="A15" s="45" t="inlineStr">
        <is>
          <t>★右田4</t>
        </is>
      </c>
      <c r="B15" s="45" t="inlineStr">
        <is>
          <t>小野6</t>
        </is>
      </c>
      <c r="C15" s="45" t="inlineStr">
        <is>
          <t>山内4</t>
        </is>
      </c>
      <c r="D15" s="45" t="inlineStr">
        <is>
          <t>神田4</t>
        </is>
      </c>
      <c r="E15" s="1032" t="inlineStr">
        <is>
          <t>中村8</t>
        </is>
      </c>
      <c r="F15" s="1119" t="n"/>
      <c r="I15" s="1119" t="n"/>
      <c r="L15" s="1119" t="n"/>
      <c r="O15" s="1119" t="n"/>
      <c r="X15" s="1119" t="n"/>
    </row>
    <row r="16" ht="20.25" customHeight="1" s="1428" thickBot="1">
      <c r="A16" s="45" t="inlineStr">
        <is>
          <t>★右田4</t>
        </is>
      </c>
      <c r="B16" s="45" t="inlineStr">
        <is>
          <t>平井5</t>
        </is>
      </c>
      <c r="C16" s="45" t="inlineStr">
        <is>
          <t>山内4</t>
        </is>
      </c>
      <c r="D16" s="45" t="inlineStr">
        <is>
          <t>神田4</t>
        </is>
      </c>
      <c r="E16" s="1034" t="inlineStr">
        <is>
          <t>中村5</t>
        </is>
      </c>
      <c r="F16" s="1119" t="n"/>
      <c r="I16" s="1119" t="n"/>
      <c r="L16" s="1119" t="n"/>
      <c r="O16" s="1119" t="n"/>
      <c r="X16" s="1119" t="n"/>
    </row>
    <row r="17" ht="20.25" customHeight="1" s="1428" thickTop="1">
      <c r="A17" s="45" t="inlineStr">
        <is>
          <t>佐藤9</t>
        </is>
      </c>
      <c r="B17" s="45" t="inlineStr">
        <is>
          <t>小野13</t>
        </is>
      </c>
      <c r="C17" s="45" t="inlineStr">
        <is>
          <t>★中嶋10</t>
        </is>
      </c>
      <c r="D17" s="45" t="inlineStr">
        <is>
          <t>神田10</t>
        </is>
      </c>
      <c r="E17" s="1199" t="inlineStr">
        <is>
          <t>中嶋10</t>
        </is>
      </c>
      <c r="F17" s="1119" t="n"/>
      <c r="I17" s="1119" t="n"/>
      <c r="L17" s="1119" t="n"/>
      <c r="O17" s="1119" t="n"/>
      <c r="P17" s="1035" t="n"/>
      <c r="Q17" s="1036" t="n"/>
    </row>
    <row r="18" ht="20.25" customHeight="1" s="1428" thickBot="1">
      <c r="A18" s="45" t="inlineStr">
        <is>
          <t>佐藤4</t>
        </is>
      </c>
      <c r="B18" s="45" t="inlineStr">
        <is>
          <t>平井5</t>
        </is>
      </c>
      <c r="C18" s="45" t="inlineStr">
        <is>
          <t>山内3</t>
        </is>
      </c>
      <c r="D18" s="45" t="inlineStr">
        <is>
          <t>神田3</t>
        </is>
      </c>
      <c r="E18" s="216" t="inlineStr">
        <is>
          <t>中嶋10</t>
        </is>
      </c>
      <c r="F18" s="1119" t="n"/>
      <c r="I18" s="1119" t="n"/>
      <c r="L18" s="1119" t="n"/>
      <c r="O18" s="1119" t="n"/>
      <c r="P18" s="1204" t="n"/>
      <c r="Q18" s="1036" t="n"/>
    </row>
    <row r="19" ht="20.25" customHeight="1" s="1428" thickBot="1">
      <c r="A19" s="45" t="inlineStr">
        <is>
          <t>佐藤3</t>
        </is>
      </c>
      <c r="B19" s="45" t="inlineStr">
        <is>
          <t>平井4</t>
        </is>
      </c>
      <c r="C19" s="45" t="inlineStr">
        <is>
          <t>山内3</t>
        </is>
      </c>
      <c r="D19" s="45" t="inlineStr">
        <is>
          <t>神田3</t>
        </is>
      </c>
      <c r="E19" s="166" t="inlineStr">
        <is>
          <t>中嶋7</t>
        </is>
      </c>
      <c r="F19" s="1119" t="n"/>
      <c r="I19" s="1119" t="n"/>
      <c r="L19" s="1119" t="n"/>
      <c r="O19" s="1119" t="n"/>
      <c r="P19" s="1031" t="n"/>
      <c r="Q19" s="286" t="n"/>
    </row>
    <row r="20" ht="20.25" customHeight="1" s="1428" thickBot="1">
      <c r="A20" s="45" t="inlineStr">
        <is>
          <t>佐藤3</t>
        </is>
      </c>
      <c r="B20" s="45" t="inlineStr">
        <is>
          <t>平井11</t>
        </is>
      </c>
      <c r="C20" s="45" t="inlineStr">
        <is>
          <t>藤田12</t>
        </is>
      </c>
      <c r="D20" s="45" t="inlineStr">
        <is>
          <t>●田代4</t>
        </is>
      </c>
      <c r="E20" s="216" t="inlineStr">
        <is>
          <t>★中村6</t>
        </is>
      </c>
      <c r="F20" s="1119" t="n"/>
      <c r="I20" s="1119" t="n"/>
      <c r="J20" s="45" t="n"/>
      <c r="L20" s="1119" t="n"/>
      <c r="O20" s="1119" t="n"/>
      <c r="P20" s="1037" t="n"/>
      <c r="Q20" s="286" t="n"/>
    </row>
    <row r="21" ht="20.25" customHeight="1" s="1428" thickBot="1">
      <c r="A21" s="1040" t="n"/>
      <c r="B21" s="45" t="inlineStr">
        <is>
          <t>伊地知3</t>
        </is>
      </c>
      <c r="C21" s="45" t="inlineStr">
        <is>
          <t>岡野10</t>
        </is>
      </c>
      <c r="D21" s="1042" t="inlineStr">
        <is>
          <t>●神田4</t>
        </is>
      </c>
      <c r="E21" s="166" t="inlineStr">
        <is>
          <t>中嶋8</t>
        </is>
      </c>
      <c r="F21" s="1028" t="n"/>
      <c r="I21" s="1119" t="n"/>
      <c r="J21" s="1041" t="n"/>
      <c r="L21" s="10" t="n"/>
      <c r="O21" s="1038" t="n"/>
      <c r="P21" s="1204" t="n"/>
      <c r="Q21" s="1039" t="n"/>
    </row>
    <row r="22" ht="20.25" customHeight="1" s="1428" thickBot="1">
      <c r="A22" s="45" t="inlineStr">
        <is>
          <t>日高11</t>
        </is>
      </c>
      <c r="B22" s="45" t="inlineStr">
        <is>
          <t>黒岩17</t>
        </is>
      </c>
      <c r="C22" s="45" t="inlineStr">
        <is>
          <t>★右田3</t>
        </is>
      </c>
      <c r="D22" s="45" t="inlineStr">
        <is>
          <t>和久12</t>
        </is>
      </c>
      <c r="E22" s="162" t="inlineStr">
        <is>
          <t>★中村5</t>
        </is>
      </c>
      <c r="F22" s="10" t="n"/>
      <c r="P22" s="4" t="n"/>
      <c r="Q22" s="4" t="n"/>
    </row>
    <row r="23" ht="14.25" customHeight="1" s="1428" thickTop="1">
      <c r="A23" s="45" t="inlineStr">
        <is>
          <t>日高9</t>
        </is>
      </c>
      <c r="B23" s="45" t="inlineStr">
        <is>
          <t>古賀13</t>
        </is>
      </c>
      <c r="C23" s="45" t="inlineStr">
        <is>
          <t>岡野3</t>
        </is>
      </c>
      <c r="D23" s="45" t="inlineStr">
        <is>
          <t>平野10</t>
        </is>
      </c>
    </row>
    <row r="24">
      <c r="A24" s="45" t="inlineStr">
        <is>
          <t>日高4</t>
        </is>
      </c>
      <c r="B24" s="45" t="inlineStr">
        <is>
          <t>古賀5</t>
        </is>
      </c>
      <c r="C24" s="45" t="inlineStr">
        <is>
          <t>★右田3</t>
        </is>
      </c>
      <c r="D24" s="45" t="inlineStr">
        <is>
          <t>平野3</t>
        </is>
      </c>
    </row>
    <row r="25">
      <c r="A25" s="45" t="inlineStr">
        <is>
          <t>日高3</t>
        </is>
      </c>
      <c r="B25" s="45" t="inlineStr">
        <is>
          <t>古賀4</t>
        </is>
      </c>
      <c r="C25" s="45" t="inlineStr">
        <is>
          <t>●岡野5</t>
        </is>
      </c>
      <c r="D25" s="45" t="inlineStr">
        <is>
          <t>田代3</t>
        </is>
      </c>
    </row>
    <row r="26">
      <c r="A26" s="45" t="inlineStr">
        <is>
          <t>日高3</t>
        </is>
      </c>
      <c r="B26" s="45" t="inlineStr">
        <is>
          <t>古賀4</t>
        </is>
      </c>
      <c r="C26" s="45" t="n"/>
      <c r="D26" s="45" t="inlineStr">
        <is>
          <t>平野3</t>
        </is>
      </c>
    </row>
    <row r="27">
      <c r="A27" s="45" t="inlineStr">
        <is>
          <t>日高3</t>
        </is>
      </c>
      <c r="B27" s="45" t="inlineStr">
        <is>
          <t>古賀3</t>
        </is>
      </c>
      <c r="C27" s="45" t="n"/>
      <c r="D27" s="45" t="inlineStr">
        <is>
          <t>●平野4</t>
        </is>
      </c>
    </row>
    <row r="28">
      <c r="A28" s="45" t="inlineStr">
        <is>
          <t>日高9</t>
        </is>
      </c>
      <c r="B28" s="45" t="inlineStr">
        <is>
          <t>★平井5</t>
        </is>
      </c>
      <c r="C28" s="45" t="inlineStr">
        <is>
          <t>右田9</t>
        </is>
      </c>
      <c r="D28" s="45" t="n"/>
    </row>
    <row r="29">
      <c r="A29" s="45" t="inlineStr">
        <is>
          <t>日高5</t>
        </is>
      </c>
      <c r="B29" s="45" t="inlineStr">
        <is>
          <t>平野3</t>
        </is>
      </c>
      <c r="C29" s="45" t="inlineStr">
        <is>
          <t>右田9</t>
        </is>
      </c>
      <c r="D29" s="45" t="n"/>
    </row>
    <row r="30">
      <c r="A30" s="45" t="inlineStr">
        <is>
          <t>馬渡8</t>
        </is>
      </c>
      <c r="B30" s="45" t="inlineStr">
        <is>
          <t>髙本12</t>
        </is>
      </c>
      <c r="C30" s="45" t="inlineStr">
        <is>
          <t>長本5</t>
        </is>
      </c>
      <c r="D30" s="45" t="inlineStr">
        <is>
          <t>田代9</t>
        </is>
      </c>
    </row>
    <row r="31">
      <c r="A31" s="45" t="inlineStr">
        <is>
          <t>馬渡8</t>
        </is>
      </c>
      <c r="B31" s="45" t="inlineStr">
        <is>
          <t>伊地知12</t>
        </is>
      </c>
      <c r="C31" s="45" t="inlineStr">
        <is>
          <t>長本5</t>
        </is>
      </c>
      <c r="D31" s="45" t="inlineStr">
        <is>
          <t>栗原9</t>
        </is>
      </c>
    </row>
    <row r="32">
      <c r="A32" s="45" t="inlineStr">
        <is>
          <t>馬渡5</t>
        </is>
      </c>
      <c r="B32" s="45" t="inlineStr">
        <is>
          <t>髙本7</t>
        </is>
      </c>
      <c r="C32" s="45" t="inlineStr">
        <is>
          <t>★副島4</t>
        </is>
      </c>
      <c r="D32" s="45" t="inlineStr">
        <is>
          <t>栗原5</t>
        </is>
      </c>
    </row>
    <row r="33">
      <c r="A33" s="45" t="inlineStr">
        <is>
          <t>馬渡5</t>
        </is>
      </c>
      <c r="B33" s="45" t="inlineStr">
        <is>
          <t>伊地知6</t>
        </is>
      </c>
      <c r="C33" s="45" t="inlineStr">
        <is>
          <t>★副島4</t>
        </is>
      </c>
      <c r="D33" s="45" t="inlineStr">
        <is>
          <t>栗原5</t>
        </is>
      </c>
    </row>
    <row r="34">
      <c r="A34" s="45" t="inlineStr">
        <is>
          <t>長本4</t>
        </is>
      </c>
      <c r="B34" s="45" t="inlineStr">
        <is>
          <t>高本6</t>
        </is>
      </c>
      <c r="C34" s="45" t="inlineStr">
        <is>
          <t>中嶋10</t>
        </is>
      </c>
      <c r="D34" s="45" t="inlineStr">
        <is>
          <t>栗原4</t>
        </is>
      </c>
    </row>
    <row r="35">
      <c r="A35" s="45" t="inlineStr">
        <is>
          <t>長本4</t>
        </is>
      </c>
      <c r="B35" s="45" t="inlineStr">
        <is>
          <t>伊地知5</t>
        </is>
      </c>
      <c r="C35" s="45" t="inlineStr">
        <is>
          <t>長本3</t>
        </is>
      </c>
      <c r="D35" s="45" t="inlineStr">
        <is>
          <t>栗原4</t>
        </is>
      </c>
    </row>
    <row r="36">
      <c r="A36" s="45" t="inlineStr">
        <is>
          <t>馬渡9</t>
        </is>
      </c>
      <c r="B36" s="45" t="inlineStr">
        <is>
          <t>髙本13</t>
        </is>
      </c>
      <c r="C36" s="45" t="inlineStr">
        <is>
          <t>長本3</t>
        </is>
      </c>
      <c r="D36" s="45" t="inlineStr">
        <is>
          <t>田代10</t>
        </is>
      </c>
    </row>
    <row r="37">
      <c r="A37" s="45" t="inlineStr">
        <is>
          <t>馬渡4</t>
        </is>
      </c>
      <c r="B37" s="45" t="inlineStr">
        <is>
          <t>伊地知5</t>
        </is>
      </c>
      <c r="C37" s="45" t="inlineStr">
        <is>
          <t>長本5</t>
        </is>
      </c>
      <c r="D37" s="45" t="inlineStr">
        <is>
          <t>栗原3</t>
        </is>
      </c>
    </row>
    <row r="38">
      <c r="A38" s="45" t="inlineStr">
        <is>
          <t>馬渡3</t>
        </is>
      </c>
      <c r="B38" s="45" t="inlineStr">
        <is>
          <t>伊地知4</t>
        </is>
      </c>
      <c r="C38" s="8" t="inlineStr">
        <is>
          <t>●佐藤5</t>
        </is>
      </c>
      <c r="D38" s="45" t="inlineStr">
        <is>
          <t>栗原3</t>
        </is>
      </c>
    </row>
    <row r="39">
      <c r="A39" s="45" t="inlineStr">
        <is>
          <t>長本3</t>
        </is>
      </c>
      <c r="B39" s="45" t="inlineStr">
        <is>
          <t>伊地知3</t>
        </is>
      </c>
      <c r="D39" s="45" t="n"/>
    </row>
    <row r="40">
      <c r="A40" s="1040" t="n"/>
      <c r="B40" s="45" t="inlineStr">
        <is>
          <t>●伊地知5</t>
        </is>
      </c>
      <c r="D40" s="1042" t="n"/>
    </row>
  </sheetData>
  <mergeCells count="1">
    <mergeCell ref="A1:R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"/>
  <sheetViews>
    <sheetView view="pageBreakPreview" zoomScale="115" zoomScaleNormal="85" zoomScaleSheetLayoutView="115" workbookViewId="0">
      <selection activeCell="Q17" sqref="Q17"/>
    </sheetView>
  </sheetViews>
  <sheetFormatPr baseColWidth="8" defaultColWidth="9" defaultRowHeight="13.5"/>
  <cols>
    <col width="7" customWidth="1" style="4" min="1" max="28"/>
    <col width="7" customWidth="1" style="15" min="29" max="30"/>
    <col width="7" customWidth="1" style="4" min="31" max="32"/>
    <col width="9" customWidth="1" style="4" min="33" max="16384"/>
  </cols>
  <sheetData>
    <row r="1" ht="20.25" customFormat="1" customHeight="1" s="1080" thickBot="1">
      <c r="A1" s="1080" t="n"/>
    </row>
    <row r="2" ht="20.25" customHeight="1" s="1428" thickBot="1">
      <c r="A2" s="1043" t="inlineStr">
        <is>
          <t>国語</t>
        </is>
      </c>
      <c r="B2" s="1043" t="n"/>
      <c r="C2" s="1043" t="n"/>
      <c r="D2" s="1043" t="n"/>
      <c r="E2" s="1043" t="n"/>
      <c r="F2" s="1043" t="n"/>
      <c r="G2" s="1043" t="n"/>
      <c r="H2" s="1043" t="inlineStr">
        <is>
          <t>社会</t>
        </is>
      </c>
      <c r="I2" s="1043" t="n"/>
      <c r="J2" s="1043" t="n"/>
      <c r="K2" s="1043" t="n"/>
      <c r="L2" s="1043" t="n"/>
      <c r="M2" s="1043" t="n"/>
      <c r="N2" s="1043" t="n"/>
      <c r="O2" s="1044" t="inlineStr">
        <is>
          <t>英語</t>
        </is>
      </c>
      <c r="P2" s="1043" t="n"/>
      <c r="S2" s="1046" t="n"/>
      <c r="U2" s="1043" t="n"/>
      <c r="V2" s="1046" t="n"/>
      <c r="X2" s="1043" t="n"/>
      <c r="Y2" s="1046" t="n"/>
      <c r="AA2" s="1043" t="n"/>
      <c r="AB2" s="1046" t="n"/>
      <c r="AD2" s="1045" t="n"/>
      <c r="AK2" s="10" t="n"/>
    </row>
    <row r="3" ht="20.25" customHeight="1" s="1428" thickBot="1" thickTop="1">
      <c r="A3" s="45" t="inlineStr">
        <is>
          <t>副島8</t>
        </is>
      </c>
      <c r="B3" s="45" t="inlineStr">
        <is>
          <t>佐藤8</t>
        </is>
      </c>
      <c r="C3" s="45" t="inlineStr">
        <is>
          <t>長本8</t>
        </is>
      </c>
      <c r="D3" s="45" t="inlineStr">
        <is>
          <t>★右田4</t>
        </is>
      </c>
      <c r="E3" s="45" t="inlineStr">
        <is>
          <t>日高11</t>
        </is>
      </c>
      <c r="F3" s="45" t="inlineStr">
        <is>
          <t>馬渡8</t>
        </is>
      </c>
      <c r="H3" s="45" t="inlineStr">
        <is>
          <t>藤田9</t>
        </is>
      </c>
      <c r="I3" s="45" t="inlineStr">
        <is>
          <t>岡野9</t>
        </is>
      </c>
      <c r="J3" s="45" t="inlineStr">
        <is>
          <t>山内5</t>
        </is>
      </c>
      <c r="K3" s="45" t="inlineStr">
        <is>
          <t>★右田3</t>
        </is>
      </c>
      <c r="L3" s="45" t="inlineStr">
        <is>
          <t>長本5</t>
        </is>
      </c>
      <c r="M3" s="45" t="inlineStr">
        <is>
          <t>★副島4</t>
        </is>
      </c>
      <c r="O3" s="1029" t="inlineStr">
        <is>
          <t>土井下13</t>
        </is>
      </c>
      <c r="P3" s="1029" t="inlineStr">
        <is>
          <t>倉光10</t>
        </is>
      </c>
      <c r="Q3" s="1029" t="inlineStr">
        <is>
          <t>中村10</t>
        </is>
      </c>
      <c r="S3" s="1119" t="n"/>
      <c r="V3" s="1119" t="n"/>
      <c r="Y3" s="1119" t="n"/>
      <c r="AB3" s="1119" t="n"/>
      <c r="AD3" s="1030" t="n"/>
      <c r="AF3" s="10" t="n"/>
      <c r="AH3" s="660" t="n"/>
      <c r="AK3" s="1119" t="n"/>
    </row>
    <row r="4" ht="20.25" customHeight="1" s="1428" thickBot="1">
      <c r="A4" s="45" t="inlineStr">
        <is>
          <t>副島8</t>
        </is>
      </c>
      <c r="B4" s="45" t="inlineStr">
        <is>
          <t>佐藤5</t>
        </is>
      </c>
      <c r="C4" s="45" t="inlineStr">
        <is>
          <t>長本4</t>
        </is>
      </c>
      <c r="D4" s="45" t="inlineStr">
        <is>
          <t>★右田4</t>
        </is>
      </c>
      <c r="E4" s="45" t="inlineStr">
        <is>
          <t>日高9</t>
        </is>
      </c>
      <c r="F4" s="45" t="inlineStr">
        <is>
          <t>馬渡8</t>
        </is>
      </c>
      <c r="H4" s="45" t="inlineStr">
        <is>
          <t>藤田12</t>
        </is>
      </c>
      <c r="I4" s="45" t="inlineStr">
        <is>
          <t>岡野9</t>
        </is>
      </c>
      <c r="J4" s="45" t="inlineStr">
        <is>
          <t>山内5</t>
        </is>
      </c>
      <c r="K4" s="45" t="inlineStr">
        <is>
          <t>★右田3</t>
        </is>
      </c>
      <c r="L4" s="45" t="inlineStr">
        <is>
          <t>長本5</t>
        </is>
      </c>
      <c r="M4" s="45" t="inlineStr">
        <is>
          <t>★副島4</t>
        </is>
      </c>
      <c r="O4" s="1032" t="inlineStr">
        <is>
          <t>土井下7</t>
        </is>
      </c>
      <c r="P4" s="1031" t="inlineStr">
        <is>
          <t>倉光10</t>
        </is>
      </c>
      <c r="Q4" s="1033" t="inlineStr">
        <is>
          <t>中村10</t>
        </is>
      </c>
      <c r="S4" s="1119" t="n"/>
      <c r="V4" s="1119" t="n"/>
      <c r="Y4" s="1119" t="n"/>
      <c r="AB4" s="1119" t="n"/>
      <c r="AD4" s="1030" t="n"/>
      <c r="AF4" s="10" t="n"/>
      <c r="AH4" s="660" t="n"/>
      <c r="AK4" s="1119" t="n"/>
    </row>
    <row r="5" ht="20.25" customHeight="1" s="1428" thickBot="1">
      <c r="A5" s="45" t="inlineStr">
        <is>
          <t>副島5</t>
        </is>
      </c>
      <c r="B5" s="45" t="inlineStr">
        <is>
          <t>佐藤9</t>
        </is>
      </c>
      <c r="C5" s="45" t="inlineStr">
        <is>
          <t>長本4</t>
        </is>
      </c>
      <c r="D5" s="45" t="n"/>
      <c r="E5" s="45" t="inlineStr">
        <is>
          <t>日高4</t>
        </is>
      </c>
      <c r="F5" s="45" t="inlineStr">
        <is>
          <t>馬渡5</t>
        </is>
      </c>
      <c r="G5" s="45" t="n"/>
      <c r="I5" s="45" t="inlineStr">
        <is>
          <t>岡野5</t>
        </is>
      </c>
      <c r="J5" s="45" t="inlineStr">
        <is>
          <t>山内5</t>
        </is>
      </c>
      <c r="K5" s="45" t="inlineStr">
        <is>
          <t>右田9</t>
        </is>
      </c>
      <c r="L5" s="45" t="inlineStr">
        <is>
          <t>長本3</t>
        </is>
      </c>
      <c r="M5" s="45" t="n"/>
      <c r="O5" s="1033" t="inlineStr">
        <is>
          <t>土井下6</t>
        </is>
      </c>
      <c r="P5" s="1029" t="inlineStr">
        <is>
          <t>倉光6</t>
        </is>
      </c>
      <c r="Q5" s="1032" t="inlineStr">
        <is>
          <t>中村6</t>
        </is>
      </c>
      <c r="S5" s="1119" t="n"/>
      <c r="V5" s="1119" t="n"/>
      <c r="Y5" s="1119" t="n"/>
      <c r="AB5" s="1119" t="n"/>
      <c r="AD5" s="1030" t="n"/>
      <c r="AF5" s="10" t="n"/>
      <c r="AH5" s="660" t="n"/>
      <c r="AK5" s="10" t="n"/>
    </row>
    <row r="6" ht="20.25" customHeight="1" s="1428" thickBot="1">
      <c r="A6" s="45" t="inlineStr">
        <is>
          <t>副島5</t>
        </is>
      </c>
      <c r="B6" s="45" t="inlineStr">
        <is>
          <t>佐藤4</t>
        </is>
      </c>
      <c r="C6" s="45" t="inlineStr">
        <is>
          <t>長本3</t>
        </is>
      </c>
      <c r="D6" s="45" t="n"/>
      <c r="E6" s="45" t="inlineStr">
        <is>
          <t>日高3</t>
        </is>
      </c>
      <c r="F6" s="45" t="inlineStr">
        <is>
          <t>馬渡5</t>
        </is>
      </c>
      <c r="G6" s="45" t="n"/>
      <c r="H6" s="45" t="inlineStr">
        <is>
          <t>佐藤9</t>
        </is>
      </c>
      <c r="I6" s="45" t="inlineStr">
        <is>
          <t>岡野4</t>
        </is>
      </c>
      <c r="J6" s="45" t="inlineStr">
        <is>
          <t>山内4</t>
        </is>
      </c>
      <c r="K6" s="45" t="inlineStr">
        <is>
          <t>右田9</t>
        </is>
      </c>
      <c r="L6" s="45" t="inlineStr">
        <is>
          <t>長本3</t>
        </is>
      </c>
      <c r="M6" s="45" t="n"/>
      <c r="O6" s="1032" t="inlineStr">
        <is>
          <t>土井下8</t>
        </is>
      </c>
      <c r="P6" s="1031" t="inlineStr">
        <is>
          <t>倉光5</t>
        </is>
      </c>
      <c r="Q6" s="1032" t="inlineStr">
        <is>
          <t>中村8</t>
        </is>
      </c>
      <c r="S6" s="1119" t="n"/>
      <c r="V6" s="1119" t="n"/>
      <c r="Y6" s="1119" t="n"/>
      <c r="AB6" s="1119" t="n"/>
      <c r="AD6" s="1030" t="n"/>
      <c r="AF6" s="10" t="n"/>
      <c r="AH6" s="660" t="n"/>
      <c r="AK6" s="1119" t="n"/>
    </row>
    <row r="7" ht="20.25" customHeight="1" s="1428" thickBot="1">
      <c r="A7" s="45" t="inlineStr">
        <is>
          <t>副島4</t>
        </is>
      </c>
      <c r="B7" s="45" t="inlineStr">
        <is>
          <t>佐藤3</t>
        </is>
      </c>
      <c r="C7" s="45" t="n"/>
      <c r="D7" s="45" t="n"/>
      <c r="E7" s="45" t="inlineStr">
        <is>
          <t>日高3</t>
        </is>
      </c>
      <c r="F7" s="45" t="inlineStr">
        <is>
          <t>馬渡9</t>
        </is>
      </c>
      <c r="G7" s="45" t="n"/>
      <c r="H7" s="8" t="inlineStr">
        <is>
          <t>●佐藤5</t>
        </is>
      </c>
      <c r="I7" s="45" t="inlineStr">
        <is>
          <t>岡野4</t>
        </is>
      </c>
      <c r="J7" s="45" t="inlineStr">
        <is>
          <t>山内4</t>
        </is>
      </c>
      <c r="K7" s="45" t="n"/>
      <c r="L7" s="45" t="inlineStr">
        <is>
          <t>長本5</t>
        </is>
      </c>
      <c r="M7" s="45" t="n"/>
      <c r="P7" s="45" t="n"/>
      <c r="Q7" s="1034" t="inlineStr">
        <is>
          <t>中村5</t>
        </is>
      </c>
      <c r="S7" s="1119" t="n"/>
      <c r="V7" s="1119" t="n"/>
      <c r="Y7" s="1119" t="n"/>
      <c r="AB7" s="1119" t="n"/>
      <c r="AD7" s="1030" t="n"/>
      <c r="AF7" s="10" t="n"/>
      <c r="AH7" s="660" t="n"/>
      <c r="AK7" s="1119" t="n"/>
    </row>
    <row r="8" ht="20.25" customHeight="1" s="1428" thickBot="1" thickTop="1">
      <c r="A8" s="45" t="inlineStr">
        <is>
          <t>副島4</t>
        </is>
      </c>
      <c r="B8" s="45" t="inlineStr">
        <is>
          <t>佐藤3</t>
        </is>
      </c>
      <c r="C8" s="45" t="n"/>
      <c r="D8" s="45" t="n"/>
      <c r="E8" s="45" t="inlineStr">
        <is>
          <t>日高3</t>
        </is>
      </c>
      <c r="F8" s="45" t="inlineStr">
        <is>
          <t>馬渡4</t>
        </is>
      </c>
      <c r="G8" s="45" t="n"/>
      <c r="I8" s="45" t="inlineStr">
        <is>
          <t>★岡野9</t>
        </is>
      </c>
      <c r="J8" s="45" t="inlineStr">
        <is>
          <t>山内3</t>
        </is>
      </c>
      <c r="K8" s="45" t="n"/>
      <c r="L8" s="45" t="n"/>
      <c r="M8" s="45" t="n"/>
      <c r="N8" s="45" t="n"/>
      <c r="O8" s="45" t="n"/>
      <c r="P8" s="45" t="n"/>
      <c r="Q8" s="216" t="inlineStr">
        <is>
          <t>★中村6</t>
        </is>
      </c>
      <c r="S8" s="1119" t="n"/>
      <c r="V8" s="1119" t="n"/>
      <c r="Y8" s="1119" t="n"/>
      <c r="AB8" s="1119" t="n"/>
      <c r="AD8" s="286" t="n"/>
      <c r="AK8" s="1119" t="n"/>
    </row>
    <row r="9" ht="20.25" customHeight="1" s="1428" thickBot="1">
      <c r="B9" s="4">
        <f>SUM(B3:B8)</f>
        <v/>
      </c>
      <c r="E9" s="45" t="inlineStr">
        <is>
          <t>日高9</t>
        </is>
      </c>
      <c r="F9" s="45" t="inlineStr">
        <is>
          <t>馬渡3</t>
        </is>
      </c>
      <c r="H9" s="45" t="inlineStr">
        <is>
          <t>★中嶋10</t>
        </is>
      </c>
      <c r="I9" s="45" t="inlineStr">
        <is>
          <t>岡野10</t>
        </is>
      </c>
      <c r="J9" s="45" t="inlineStr">
        <is>
          <t>山内3</t>
        </is>
      </c>
      <c r="K9" s="45" t="n"/>
      <c r="L9" s="45" t="n"/>
      <c r="M9" s="45" t="n"/>
      <c r="N9" s="45" t="n"/>
      <c r="O9" s="1199" t="inlineStr">
        <is>
          <t>中嶋10</t>
        </is>
      </c>
      <c r="P9" s="45" t="n"/>
      <c r="Q9" s="162" t="inlineStr">
        <is>
          <t>★中村5</t>
        </is>
      </c>
      <c r="S9" s="1119" t="n"/>
      <c r="V9" s="1119" t="n"/>
      <c r="Y9" s="1119" t="n"/>
      <c r="AB9" s="1119" t="n"/>
      <c r="AD9" s="286" t="n"/>
      <c r="AK9" s="1119" t="n"/>
    </row>
    <row r="10" ht="20.25" customHeight="1" s="1428" thickBot="1" thickTop="1">
      <c r="E10" s="45" t="inlineStr">
        <is>
          <t>日高5</t>
        </is>
      </c>
      <c r="H10" s="45" t="inlineStr">
        <is>
          <t>中嶋10</t>
        </is>
      </c>
      <c r="I10" s="45" t="inlineStr">
        <is>
          <t>岡野3</t>
        </is>
      </c>
      <c r="J10" s="45" t="n"/>
      <c r="K10" s="45" t="n"/>
      <c r="L10" s="45" t="n"/>
      <c r="M10" s="45" t="n"/>
      <c r="N10" s="45" t="n"/>
      <c r="O10" s="216" t="inlineStr">
        <is>
          <t>中嶋10</t>
        </is>
      </c>
      <c r="P10" s="45" t="n"/>
      <c r="S10" s="1119" t="n"/>
      <c r="V10" s="1119" t="n"/>
      <c r="Y10" s="1119" t="n"/>
      <c r="AB10" s="1119" t="n"/>
      <c r="AD10" s="286" t="n"/>
      <c r="AK10" s="1119" t="n"/>
    </row>
    <row r="11" ht="20.25" customHeight="1" s="1428" thickBot="1">
      <c r="B11" s="45" t="n"/>
      <c r="C11" s="45" t="n"/>
      <c r="D11" s="45" t="n"/>
      <c r="E11" s="45" t="n"/>
      <c r="F11" s="45" t="n"/>
      <c r="G11" s="45" t="n"/>
      <c r="I11" s="45" t="inlineStr">
        <is>
          <t>●岡野5</t>
        </is>
      </c>
      <c r="J11" s="45" t="n"/>
      <c r="K11" s="45" t="n"/>
      <c r="L11" s="45" t="n"/>
      <c r="M11" s="45" t="n"/>
      <c r="N11" s="45" t="n"/>
      <c r="O11" s="166" t="inlineStr">
        <is>
          <t>中嶋7</t>
        </is>
      </c>
      <c r="P11" s="45" t="n"/>
      <c r="S11" s="1119" t="n"/>
      <c r="V11" s="1119" t="n"/>
      <c r="Y11" s="1119" t="n"/>
      <c r="AB11" s="1119" t="n"/>
      <c r="AK11" s="1119" t="n"/>
    </row>
    <row r="12" ht="20.25" customHeight="1" s="1428">
      <c r="A12" s="1043" t="inlineStr">
        <is>
          <t>数学</t>
        </is>
      </c>
      <c r="C12" s="45" t="n"/>
      <c r="D12" s="45" t="n"/>
      <c r="E12" s="45" t="n"/>
      <c r="F12" s="45" t="n"/>
      <c r="G12" s="45" t="n"/>
      <c r="I12" s="45" t="n"/>
      <c r="J12" s="45" t="n"/>
      <c r="K12" s="45" t="n"/>
      <c r="L12" s="45" t="n"/>
      <c r="M12" s="45" t="n"/>
      <c r="N12" s="45" t="n"/>
      <c r="O12" s="166" t="inlineStr">
        <is>
          <t>中嶋8</t>
        </is>
      </c>
      <c r="P12" s="45" t="n"/>
      <c r="S12" s="1119" t="n"/>
      <c r="V12" s="1119" t="n"/>
      <c r="Y12" s="1119" t="n"/>
      <c r="AB12" s="1119" t="n"/>
      <c r="AK12" s="1119" t="n"/>
    </row>
    <row r="13" ht="20.25" customHeight="1" s="1428">
      <c r="A13" s="45" t="inlineStr">
        <is>
          <t>黒岩14</t>
        </is>
      </c>
      <c r="B13" s="45" t="inlineStr">
        <is>
          <t>古賀12</t>
        </is>
      </c>
      <c r="C13" s="45" t="inlineStr">
        <is>
          <t>★栗原6</t>
        </is>
      </c>
      <c r="D13" s="45" t="inlineStr">
        <is>
          <t>倉光6</t>
        </is>
      </c>
      <c r="E13" s="45" t="inlineStr">
        <is>
          <t>平野5</t>
        </is>
      </c>
      <c r="F13" s="45" t="inlineStr">
        <is>
          <t>小野12</t>
        </is>
      </c>
      <c r="H13" s="1043" t="inlineStr">
        <is>
          <t>理科</t>
        </is>
      </c>
      <c r="I13" s="45" t="n"/>
      <c r="J13" s="45" t="n"/>
      <c r="L13" s="45" t="n"/>
      <c r="M13" s="45" t="n"/>
      <c r="N13" s="45" t="n"/>
      <c r="O13" s="45" t="n"/>
      <c r="P13" s="45" t="n"/>
      <c r="S13" s="1119" t="n"/>
      <c r="V13" s="1119" t="n"/>
      <c r="Y13" s="1119" t="n"/>
      <c r="AB13" s="1119" t="n"/>
      <c r="AK13" s="1119" t="n"/>
    </row>
    <row r="14" ht="20.25" customHeight="1" s="1428" thickBot="1">
      <c r="A14" s="45" t="inlineStr">
        <is>
          <t>黒岩7</t>
        </is>
      </c>
      <c r="B14" s="45" t="inlineStr">
        <is>
          <t>古賀12</t>
        </is>
      </c>
      <c r="C14" s="45" t="n"/>
      <c r="D14" s="45" t="n"/>
      <c r="E14" s="45" t="inlineStr">
        <is>
          <t>平野3</t>
        </is>
      </c>
      <c r="F14" s="45" t="inlineStr">
        <is>
          <t>小野6</t>
        </is>
      </c>
      <c r="H14" s="45" t="inlineStr">
        <is>
          <t>和久9</t>
        </is>
      </c>
      <c r="I14" s="45" t="inlineStr">
        <is>
          <t>平野9</t>
        </is>
      </c>
      <c r="J14" s="45" t="inlineStr">
        <is>
          <t>平井5</t>
        </is>
      </c>
      <c r="K14" s="45" t="inlineStr">
        <is>
          <t>田代5</t>
        </is>
      </c>
      <c r="L14" s="45" t="inlineStr">
        <is>
          <t>栗原4</t>
        </is>
      </c>
      <c r="M14" s="45" t="n"/>
      <c r="N14" s="45" t="n"/>
      <c r="O14" s="45" t="n"/>
      <c r="P14" s="45" t="n"/>
      <c r="Q14" s="45" t="n"/>
      <c r="R14" s="1033" t="n"/>
      <c r="S14" s="1119" t="n"/>
      <c r="V14" s="1119" t="n"/>
      <c r="Y14" s="1119" t="n"/>
      <c r="AB14" s="1119" t="n"/>
      <c r="AK14" s="1119" t="n"/>
    </row>
    <row r="15" ht="20.25" customHeight="1" s="1428">
      <c r="A15" s="45" t="inlineStr">
        <is>
          <t>黒岩6</t>
        </is>
      </c>
      <c r="B15" s="45" t="inlineStr">
        <is>
          <t>古賀13</t>
        </is>
      </c>
      <c r="C15" s="45" t="n"/>
      <c r="D15" s="45" t="n"/>
      <c r="E15" s="45" t="n"/>
      <c r="F15" s="45" t="inlineStr">
        <is>
          <t>小野6</t>
        </is>
      </c>
      <c r="H15" s="45" t="inlineStr">
        <is>
          <t>和久5</t>
        </is>
      </c>
      <c r="I15" s="45" t="inlineStr">
        <is>
          <t>平野9</t>
        </is>
      </c>
      <c r="J15" s="45" t="n"/>
      <c r="K15" s="45" t="inlineStr">
        <is>
          <t>田代4</t>
        </is>
      </c>
      <c r="L15" s="45" t="inlineStr">
        <is>
          <t>栗原9</t>
        </is>
      </c>
      <c r="M15" s="45" t="n"/>
      <c r="N15" s="45" t="n"/>
      <c r="O15" s="45" t="n"/>
      <c r="P15" s="45" t="n"/>
      <c r="S15" s="1119" t="n"/>
      <c r="V15" s="1119" t="n"/>
      <c r="Y15" s="1119" t="n"/>
      <c r="AB15" s="1119" t="n"/>
      <c r="AK15" s="1119" t="n"/>
    </row>
    <row r="16" ht="20.25" customHeight="1" s="1428">
      <c r="A16" s="45" t="inlineStr">
        <is>
          <t>黒岩17</t>
        </is>
      </c>
      <c r="B16" s="45" t="inlineStr">
        <is>
          <t>古賀5</t>
        </is>
      </c>
      <c r="C16" s="45" t="n"/>
      <c r="D16" s="45" t="n"/>
      <c r="E16" s="45" t="n"/>
      <c r="F16" s="45" t="inlineStr">
        <is>
          <t>小野13</t>
        </is>
      </c>
      <c r="H16" s="45" t="inlineStr">
        <is>
          <t>和久12</t>
        </is>
      </c>
      <c r="I16" s="45" t="inlineStr">
        <is>
          <t>平野10</t>
        </is>
      </c>
      <c r="J16" s="45" t="n"/>
      <c r="K16" s="45" t="inlineStr">
        <is>
          <t>●田代4</t>
        </is>
      </c>
      <c r="L16" s="45" t="inlineStr">
        <is>
          <t>栗原5</t>
        </is>
      </c>
      <c r="M16" s="45" t="n"/>
      <c r="N16" s="45" t="n"/>
      <c r="O16" s="45" t="n"/>
      <c r="P16" s="45" t="n"/>
      <c r="S16" s="1119" t="n"/>
      <c r="V16" s="1119" t="n"/>
      <c r="Y16" s="1119" t="n"/>
      <c r="AB16" s="1119" t="n"/>
      <c r="AK16" s="1119" t="n"/>
    </row>
    <row r="17" ht="20.25" customHeight="1" s="1428">
      <c r="B17" s="45" t="inlineStr">
        <is>
          <t>古賀4</t>
        </is>
      </c>
      <c r="C17" s="45" t="n"/>
      <c r="D17" s="45" t="n"/>
      <c r="E17" s="45" t="n"/>
      <c r="F17" s="45" t="n"/>
      <c r="I17" s="45" t="inlineStr">
        <is>
          <t>平野3</t>
        </is>
      </c>
      <c r="J17" s="45" t="n"/>
      <c r="K17" s="45" t="inlineStr">
        <is>
          <t>田代3</t>
        </is>
      </c>
      <c r="L17" s="45" t="inlineStr">
        <is>
          <t>栗原5</t>
        </is>
      </c>
      <c r="M17" s="45" t="n"/>
      <c r="N17" s="45" t="n"/>
      <c r="O17" s="45" t="n"/>
      <c r="P17" s="45" t="n"/>
      <c r="S17" s="1119" t="n"/>
      <c r="V17" s="1119" t="n"/>
      <c r="Y17" s="1119" t="n"/>
      <c r="AB17" s="1119" t="n"/>
      <c r="AC17" s="1035" t="n"/>
      <c r="AD17" s="1036" t="n"/>
    </row>
    <row r="18" ht="20.25" customHeight="1" s="1428" thickBot="1">
      <c r="B18" s="45" t="inlineStr">
        <is>
          <t>古賀4</t>
        </is>
      </c>
      <c r="C18" s="45" t="n"/>
      <c r="D18" s="45" t="n"/>
      <c r="E18" s="45" t="n"/>
      <c r="F18" s="45" t="n"/>
      <c r="H18" s="45" t="inlineStr">
        <is>
          <t>神田9</t>
        </is>
      </c>
      <c r="I18" s="45" t="inlineStr">
        <is>
          <t>平野3</t>
        </is>
      </c>
      <c r="J18" s="45" t="n"/>
      <c r="K18" s="45" t="inlineStr">
        <is>
          <t>田代10</t>
        </is>
      </c>
      <c r="L18" s="45" t="inlineStr">
        <is>
          <t>栗原4</t>
        </is>
      </c>
      <c r="M18" s="45" t="n"/>
      <c r="N18" s="45" t="n"/>
      <c r="O18" s="45" t="n"/>
      <c r="P18" s="45" t="n"/>
      <c r="S18" s="1119" t="n"/>
      <c r="V18" s="1119" t="n"/>
      <c r="Y18" s="1119" t="n"/>
      <c r="AB18" s="1119" t="n"/>
      <c r="AC18" s="1204" t="n"/>
      <c r="AD18" s="1036" t="n"/>
    </row>
    <row r="19" ht="20.25" customHeight="1" s="1428" thickBot="1">
      <c r="B19" s="45" t="inlineStr">
        <is>
          <t>古賀3</t>
        </is>
      </c>
      <c r="C19" s="45" t="n"/>
      <c r="D19" s="45" t="n"/>
      <c r="E19" s="45" t="n"/>
      <c r="F19" s="45" t="n"/>
      <c r="G19" s="45" t="n"/>
      <c r="H19" s="45" t="inlineStr">
        <is>
          <t>神田9</t>
        </is>
      </c>
      <c r="I19" s="45" t="inlineStr">
        <is>
          <t>●平野4</t>
        </is>
      </c>
      <c r="J19" s="45" t="n"/>
      <c r="K19" s="45" t="inlineStr">
        <is>
          <t>田代9</t>
        </is>
      </c>
      <c r="L19" s="45" t="inlineStr">
        <is>
          <t>栗原4</t>
        </is>
      </c>
      <c r="M19" s="45" t="n"/>
      <c r="N19" s="45" t="n"/>
      <c r="O19" s="45" t="n"/>
      <c r="P19" s="45" t="n"/>
      <c r="S19" s="1119" t="n"/>
      <c r="V19" s="1119" t="n"/>
      <c r="Y19" s="1119" t="n"/>
      <c r="AB19" s="1119" t="n"/>
      <c r="AC19" s="1031" t="n"/>
      <c r="AD19" s="286" t="n"/>
    </row>
    <row r="20" ht="20.25" customHeight="1" s="1428" thickBot="1">
      <c r="B20" s="45" t="n"/>
      <c r="C20" s="45" t="n"/>
      <c r="D20" s="45" t="n"/>
      <c r="E20" s="45" t="n"/>
      <c r="F20" s="45" t="n"/>
      <c r="G20" s="45" t="n"/>
      <c r="H20" s="45" t="inlineStr">
        <is>
          <t>神田5</t>
        </is>
      </c>
      <c r="I20" s="45" t="n"/>
      <c r="J20" s="45" t="n"/>
      <c r="K20" s="45" t="n"/>
      <c r="L20" s="45" t="inlineStr">
        <is>
          <t>栗原3</t>
        </is>
      </c>
      <c r="M20" s="45" t="n"/>
      <c r="N20" s="45" t="n"/>
      <c r="O20" s="45" t="n"/>
      <c r="P20" s="45" t="n"/>
      <c r="S20" s="1119" t="n"/>
      <c r="V20" s="1119" t="n"/>
      <c r="W20" s="45" t="n"/>
      <c r="Y20" s="1119" t="n"/>
      <c r="AB20" s="1119" t="n"/>
      <c r="AC20" s="1037" t="n"/>
      <c r="AD20" s="286" t="n"/>
    </row>
    <row r="21" ht="20.25" customHeight="1" s="1428" thickBot="1" thickTop="1">
      <c r="A21" s="1040" t="n"/>
      <c r="B21" s="1040" t="n"/>
      <c r="C21" s="1040" t="n"/>
      <c r="D21" s="1040" t="n"/>
      <c r="E21" s="1040" t="n"/>
      <c r="F21" s="1040" t="n"/>
      <c r="G21" s="1040" t="n"/>
      <c r="H21" s="45" t="inlineStr">
        <is>
          <t>神田4</t>
        </is>
      </c>
      <c r="J21" s="45" t="n"/>
      <c r="K21" s="45" t="n"/>
      <c r="L21" s="45" t="inlineStr">
        <is>
          <t>栗原3</t>
        </is>
      </c>
      <c r="M21" s="45" t="n"/>
      <c r="N21" s="45" t="n"/>
      <c r="O21" s="45" t="n"/>
      <c r="P21" s="45" t="n"/>
      <c r="S21" s="1028" t="n"/>
      <c r="V21" s="1119" t="n"/>
      <c r="W21" s="1041" t="n"/>
      <c r="Y21" s="10" t="n"/>
      <c r="AB21" s="1038" t="n"/>
      <c r="AC21" s="1204" t="n"/>
      <c r="AD21" s="1039" t="n"/>
    </row>
    <row r="22" ht="20.25" customHeight="1" s="1428">
      <c r="A22" s="45" t="inlineStr">
        <is>
          <t>髙本12</t>
        </is>
      </c>
      <c r="B22" s="45" t="inlineStr">
        <is>
          <t>伊地知3</t>
        </is>
      </c>
      <c r="C22" s="45" t="inlineStr">
        <is>
          <t>平井12</t>
        </is>
      </c>
      <c r="D22" s="45" t="n"/>
      <c r="E22" s="45" t="n"/>
      <c r="F22" s="45" t="n"/>
      <c r="G22" s="45" t="n"/>
      <c r="H22" s="45" t="inlineStr">
        <is>
          <t>神田4</t>
        </is>
      </c>
      <c r="J22" s="45" t="n"/>
      <c r="K22" s="45" t="n"/>
      <c r="L22" s="45" t="n"/>
      <c r="M22" s="45" t="n"/>
      <c r="N22" s="45" t="n"/>
      <c r="O22" s="45" t="n"/>
      <c r="P22" s="45" t="n"/>
      <c r="S22" s="10" t="n"/>
      <c r="AC22" s="4" t="n"/>
      <c r="AD22" s="4" t="n"/>
    </row>
    <row r="23">
      <c r="A23" s="45" t="inlineStr">
        <is>
          <t>髙本7</t>
        </is>
      </c>
      <c r="B23" s="45" t="inlineStr">
        <is>
          <t>伊地知12</t>
        </is>
      </c>
      <c r="C23" s="45" t="inlineStr">
        <is>
          <t>平井5</t>
        </is>
      </c>
      <c r="D23" s="45" t="n"/>
      <c r="E23" s="45" t="n"/>
      <c r="F23" s="45" t="n"/>
      <c r="G23" s="45" t="n"/>
      <c r="H23" s="45" t="inlineStr">
        <is>
          <t>神田10</t>
        </is>
      </c>
      <c r="J23" s="45" t="n"/>
      <c r="K23" s="45" t="n"/>
      <c r="L23" s="45" t="n"/>
      <c r="M23" s="45" t="n"/>
      <c r="N23" s="45" t="n"/>
      <c r="O23" s="45" t="n"/>
      <c r="P23" s="45" t="n"/>
    </row>
    <row r="24">
      <c r="A24" s="45" t="inlineStr">
        <is>
          <t>高本6</t>
        </is>
      </c>
      <c r="B24" s="45" t="inlineStr">
        <is>
          <t>伊地知5</t>
        </is>
      </c>
      <c r="C24" s="45" t="inlineStr">
        <is>
          <t>平井5</t>
        </is>
      </c>
      <c r="D24" s="45" t="n"/>
      <c r="E24" s="45" t="n"/>
      <c r="F24" s="45" t="n"/>
      <c r="G24" s="45" t="n"/>
      <c r="H24" s="45" t="inlineStr">
        <is>
          <t>神田3</t>
        </is>
      </c>
      <c r="J24" s="45" t="n"/>
      <c r="K24" s="45" t="n"/>
      <c r="L24" s="45" t="n"/>
      <c r="M24" s="45" t="n"/>
      <c r="N24" s="45" t="n"/>
      <c r="O24" s="45" t="n"/>
      <c r="P24" s="45" t="n"/>
    </row>
    <row r="25">
      <c r="A25" s="45" t="inlineStr">
        <is>
          <t>髙本13</t>
        </is>
      </c>
      <c r="B25" s="45" t="inlineStr">
        <is>
          <t>伊地知4</t>
        </is>
      </c>
      <c r="C25" s="45" t="inlineStr">
        <is>
          <t>平井4</t>
        </is>
      </c>
      <c r="D25" s="45" t="n"/>
      <c r="E25" s="45" t="n"/>
      <c r="F25" s="45" t="n"/>
      <c r="G25" s="45" t="n"/>
      <c r="H25" s="45" t="inlineStr">
        <is>
          <t>神田3</t>
        </is>
      </c>
      <c r="J25" s="45" t="n"/>
      <c r="K25" s="45" t="n"/>
      <c r="L25" s="45" t="n"/>
      <c r="M25" s="45" t="n"/>
      <c r="N25" s="45" t="n"/>
      <c r="O25" s="45" t="n"/>
      <c r="P25" s="45" t="n"/>
    </row>
    <row r="26">
      <c r="B26" s="45" t="inlineStr">
        <is>
          <t>伊地知3</t>
        </is>
      </c>
      <c r="C26" s="45" t="inlineStr">
        <is>
          <t>平井11</t>
        </is>
      </c>
      <c r="D26" s="45" t="n"/>
      <c r="E26" s="45" t="n"/>
      <c r="F26" s="45" t="n"/>
      <c r="G26" s="45" t="n"/>
      <c r="H26" s="1042" t="inlineStr">
        <is>
          <t>●神田4</t>
        </is>
      </c>
      <c r="I26" s="45" t="n"/>
      <c r="J26" s="45" t="n"/>
      <c r="K26" s="45" t="n"/>
      <c r="L26" s="45" t="n"/>
      <c r="M26" s="45" t="n"/>
      <c r="N26" s="45" t="n"/>
      <c r="O26" s="45" t="n"/>
      <c r="P26" s="45" t="n"/>
    </row>
    <row r="27">
      <c r="B27" s="45" t="inlineStr">
        <is>
          <t>●伊地知5</t>
        </is>
      </c>
      <c r="C27" s="45" t="inlineStr">
        <is>
          <t>★平井5</t>
        </is>
      </c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</row>
    <row r="28">
      <c r="B28" s="45" t="inlineStr">
        <is>
          <t>伊地知6</t>
        </is>
      </c>
      <c r="C28" s="45" t="n"/>
      <c r="D28" s="45" t="n"/>
      <c r="E28" s="45" t="n"/>
      <c r="F28" s="45" t="n"/>
      <c r="G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</row>
    <row r="29">
      <c r="B29" s="45" t="inlineStr">
        <is>
          <t>伊地知5</t>
        </is>
      </c>
      <c r="C29" s="45" t="n"/>
      <c r="D29" s="45" t="n"/>
      <c r="E29" s="45" t="n"/>
      <c r="F29" s="45" t="n"/>
      <c r="G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</row>
    <row r="30">
      <c r="B30" s="45" t="n"/>
      <c r="C30" s="45" t="n"/>
      <c r="D30" s="45" t="n"/>
      <c r="E30" s="45" t="n"/>
      <c r="F30" s="45" t="n"/>
      <c r="G30" s="45" t="n"/>
      <c r="I30" s="45" t="n"/>
      <c r="J30" s="45" t="n"/>
      <c r="K30" s="45" t="n"/>
      <c r="L30" s="45" t="n"/>
      <c r="M30" s="45" t="n"/>
      <c r="N30" s="45" t="n"/>
      <c r="O30" s="45" t="n"/>
      <c r="P30" s="45" t="n"/>
    </row>
    <row r="31">
      <c r="B31" s="45" t="n"/>
      <c r="C31" s="45" t="n"/>
      <c r="D31" s="45" t="n"/>
      <c r="E31" s="45" t="n"/>
      <c r="F31" s="45" t="n"/>
      <c r="G31" s="45" t="n"/>
      <c r="I31" s="45" t="n"/>
      <c r="J31" s="45" t="n"/>
      <c r="K31" s="45" t="n"/>
      <c r="L31" s="45" t="n"/>
      <c r="M31" s="45" t="n"/>
      <c r="N31" s="45" t="n"/>
      <c r="O31" s="45" t="n"/>
      <c r="P31" s="45" t="n"/>
    </row>
    <row r="32">
      <c r="B32" s="45" t="n"/>
      <c r="C32" s="45" t="n"/>
      <c r="D32" s="45" t="n"/>
      <c r="E32" s="45" t="n"/>
      <c r="F32" s="45" t="n"/>
      <c r="G32" s="45" t="n"/>
      <c r="I32" s="45" t="n"/>
      <c r="J32" s="45" t="n"/>
      <c r="K32" s="45" t="n"/>
      <c r="L32" s="45" t="n"/>
      <c r="M32" s="45" t="n"/>
      <c r="N32" s="45" t="n"/>
      <c r="O32" s="45" t="n"/>
      <c r="P32" s="45" t="n"/>
    </row>
    <row r="33">
      <c r="B33" s="45" t="n"/>
      <c r="C33" s="45" t="n"/>
      <c r="D33" s="45" t="n"/>
      <c r="E33" s="45" t="n"/>
      <c r="F33" s="45" t="n"/>
      <c r="G33" s="45" t="n"/>
      <c r="I33" s="45" t="n"/>
      <c r="J33" s="45" t="n"/>
      <c r="K33" s="45" t="n"/>
      <c r="L33" s="45" t="n"/>
      <c r="M33" s="45" t="n"/>
      <c r="N33" s="45" t="n"/>
      <c r="O33" s="45" t="n"/>
      <c r="P33" s="45" t="n"/>
    </row>
    <row r="34">
      <c r="B34" s="45" t="n"/>
      <c r="C34" s="45" t="n"/>
      <c r="D34" s="45" t="n"/>
      <c r="E34" s="45" t="n"/>
      <c r="F34" s="45" t="n"/>
      <c r="G34" s="45" t="n"/>
      <c r="I34" s="45" t="n"/>
      <c r="J34" s="45" t="n"/>
      <c r="K34" s="45" t="n"/>
      <c r="L34" s="45" t="n"/>
      <c r="M34" s="45" t="n"/>
      <c r="N34" s="45" t="n"/>
      <c r="O34" s="45" t="n"/>
      <c r="P34" s="45" t="n"/>
    </row>
    <row r="35">
      <c r="B35" s="45" t="n"/>
      <c r="C35" s="45" t="n"/>
      <c r="D35" s="45" t="n"/>
      <c r="E35" s="45" t="n"/>
      <c r="F35" s="45" t="n"/>
      <c r="G35" s="45" t="n"/>
      <c r="I35" s="45" t="n"/>
      <c r="J35" s="45" t="n"/>
      <c r="K35" s="45" t="n"/>
      <c r="L35" s="45" t="n"/>
      <c r="M35" s="45" t="n"/>
      <c r="N35" s="45" t="n"/>
      <c r="O35" s="45" t="n"/>
      <c r="P35" s="45" t="n"/>
    </row>
    <row r="36">
      <c r="B36" s="45" t="n"/>
      <c r="C36" s="45" t="n"/>
      <c r="D36" s="45" t="n"/>
      <c r="E36" s="45" t="n"/>
      <c r="F36" s="45" t="n"/>
      <c r="G36" s="45" t="n"/>
      <c r="I36" s="45" t="n"/>
      <c r="J36" s="45" t="n"/>
      <c r="K36" s="45" t="n"/>
      <c r="L36" s="45" t="n"/>
      <c r="M36" s="45" t="n"/>
      <c r="N36" s="45" t="n"/>
      <c r="O36" s="45" t="n"/>
      <c r="P36" s="45" t="n"/>
    </row>
    <row r="37">
      <c r="B37" s="45" t="n"/>
      <c r="C37" s="45" t="n"/>
      <c r="D37" s="45" t="n"/>
      <c r="E37" s="45" t="n"/>
      <c r="F37" s="45" t="n"/>
      <c r="G37" s="45" t="n"/>
      <c r="I37" s="45" t="n"/>
      <c r="J37" s="45" t="n"/>
      <c r="K37" s="45" t="n"/>
      <c r="L37" s="45" t="n"/>
      <c r="M37" s="45" t="n"/>
      <c r="N37" s="45" t="n"/>
      <c r="O37" s="45" t="n"/>
      <c r="P37" s="45" t="n"/>
    </row>
    <row r="38">
      <c r="B38" s="45" t="n"/>
      <c r="C38" s="45" t="n"/>
      <c r="D38" s="45" t="n"/>
      <c r="E38" s="45" t="n"/>
      <c r="F38" s="45" t="n"/>
      <c r="G38" s="45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B39" s="45" t="n"/>
      <c r="C39" s="45" t="n"/>
      <c r="D39" s="45" t="n"/>
      <c r="E39" s="45" t="n"/>
      <c r="F39" s="45" t="n"/>
      <c r="G39" s="45" t="n"/>
      <c r="Q39" s="45" t="n"/>
    </row>
    <row r="40">
      <c r="A40" s="1040" t="n"/>
      <c r="B40" s="1040" t="n"/>
      <c r="C40" s="1040" t="n"/>
      <c r="D40" s="1040" t="n"/>
      <c r="E40" s="1040" t="n"/>
      <c r="F40" s="1040" t="n"/>
      <c r="G40" s="1040" t="n"/>
      <c r="Q40" s="1042" t="n"/>
    </row>
  </sheetData>
  <mergeCells count="1">
    <mergeCell ref="A1:A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2006-09-13T11:12:02Z</dcterms:created>
  <dcterms:modified xsi:type="dcterms:W3CDTF">2026-10-05T11:13:46Z</dcterms:modified>
  <cp:lastPrinted>2015-05-30T06:19:09Z</cp:lastPrinted>
</cp:coreProperties>
</file>